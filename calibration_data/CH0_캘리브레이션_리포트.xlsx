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설명" sheetId="1" state="visible" r:id="rId1"/>
    <sheet xmlns:r="http://schemas.openxmlformats.org/officeDocument/2006/relationships" name="2.지점별통계" sheetId="2" state="visible" r:id="rId2"/>
    <sheet xmlns:r="http://schemas.openxmlformats.org/officeDocument/2006/relationships" name="3.원본데이터" sheetId="3" state="visible" r:id="rId3"/>
    <sheet xmlns:r="http://schemas.openxmlformats.org/officeDocument/2006/relationships" name="4.스윕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+#,##0;-#,##0;0"/>
    <numFmt numFmtId="167" formatCode="0.0000"/>
    <numFmt numFmtId="168" formatCode="+0.000;-0.000;0.000"/>
  </numFmts>
  <fonts count="12">
    <font>
      <name val="Calibri"/>
      <family val="2"/>
      <color theme="1"/>
      <sz val="11"/>
      <scheme val="minor"/>
    </font>
    <font>
      <b val="1"/>
      <color rgb="00000000"/>
      <sz val="16"/>
    </font>
    <font>
      <color rgb="00595959"/>
      <sz val="10"/>
    </font>
    <font>
      <b val="1"/>
      <color rgb="00000000"/>
      <sz val="12"/>
    </font>
    <font>
      <color rgb="00000000"/>
      <sz val="10.5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color rgb="00FFFFFF"/>
    </font>
    <font>
      <b val="1"/>
      <color rgb="00000000"/>
      <sz val="14"/>
    </font>
    <font>
      <b val="1"/>
      <color rgb="000000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0" borderId="1" pivotButton="0" quotePrefix="0" xfId="0"/>
    <xf numFmtId="0" fontId="7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7" fontId="11" fillId="0" borderId="0" pivotButton="0" quotePrefix="0" xfId="0"/>
    <xf numFmtId="1" fontId="11" fillId="0" borderId="0" pivotButton="0" quotePrefix="0" xfId="0"/>
    <xf numFmtId="0" fontId="8" fillId="3" borderId="1" applyAlignment="1" pivotButton="0" quotePrefix="0" xfId="0">
      <alignment vertical="center" wrapText="1"/>
    </xf>
    <xf numFmtId="164" fontId="0" fillId="5" borderId="1" pivotButton="0" quotePrefix="0" xfId="0"/>
    <xf numFmtId="165" fontId="0" fillId="5" borderId="1" pivotButton="0" quotePrefix="0" xfId="0"/>
    <xf numFmtId="168" fontId="0" fillId="5" borderId="1" pivotButton="0" quotePrefix="0" xfId="0"/>
    <xf numFmtId="166" fontId="0" fillId="5" borderId="1" pivotButton="0" quotePrefix="0" xfId="0"/>
    <xf numFmtId="0" fontId="0" fillId="5" borderId="1" applyAlignment="1" pivotButton="0" quotePrefix="0" xfId="0">
      <alignment vertical="center" wrapText="1"/>
    </xf>
    <xf numFmtId="164" fontId="0" fillId="0" borderId="1" pivotButton="0" quotePrefix="0" xfId="0"/>
    <xf numFmtId="165" fontId="0" fillId="0" borderId="1" pivotButton="0" quotePrefix="0" xfId="0"/>
    <xf numFmtId="168" fontId="0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vertical="center" wrapText="1"/>
    </xf>
    <xf numFmtId="164" fontId="0" fillId="6" borderId="1" pivotButton="0" quotePrefix="0" xfId="0"/>
    <xf numFmtId="165" fontId="0" fillId="6" borderId="1" pivotButton="0" quotePrefix="0" xfId="0"/>
    <xf numFmtId="168" fontId="0" fillId="6" borderId="1" pivotButton="0" quotePrefix="0" xfId="0"/>
    <xf numFmtId="166" fontId="0" fillId="6" borderId="1" pivotButton="0" quotePrefix="0" xfId="0"/>
    <xf numFmtId="0" fontId="0" fillId="6" borderId="1" applyAlignment="1" pivotButton="0" quotePrefix="0" xfId="0">
      <alignment vertical="center" wrapText="1"/>
    </xf>
    <xf numFmtId="0" fontId="8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0.3 mL 지점별 fit 잔차 (µL) — 0에 가까울수록 직선이 잘 맞음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'2.지점별통계'!E7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'2.지점별통계'!$A$8:$A$25</f>
            </numRef>
          </cat>
          <val>
            <numRef>
              <f>'2.지점별통계'!$E$8:$E$25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부피 (mL)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잔차 (µL)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캘리브레이션 곡선 — 부피 vs raw (105점)</a:t>
            </a:r>
          </a:p>
        </rich>
      </tx>
    </title>
    <plotArea>
      <scatterChart>
        <ser>
          <idx val="0"/>
          <order val="0"/>
          <tx>
            <v>흡입 (0→5)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prstDash val="solid"/>
              </a:ln>
            </spPr>
          </marker>
          <xVal>
            <numRef>
              <f>'3.원본데이터'!$H$3:$H$56</f>
            </numRef>
          </xVal>
          <yVal>
            <numRef>
              <f>'3.원본데이터'!$I$3:$I$56</f>
            </numRef>
          </yVal>
        </ser>
        <ser>
          <idx val="1"/>
          <order val="1"/>
          <tx>
            <v>토출 (5→0)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prstDash val="solid"/>
              </a:ln>
            </spPr>
          </marker>
          <xVal>
            <numRef>
              <f>'3.원본데이터'!$K$3:$K$53</f>
            </numRef>
          </xVal>
          <yVal>
            <numRef>
              <f>'3.원본데이터'!$L$3:$L$53</f>
            </numRef>
          </yVal>
        </ser>
        <ser>
          <idx val="2"/>
          <order val="2"/>
          <tx>
            <v>선형 fit</v>
          </tx>
          <spPr>
            <a:ln xmlns:a="http://schemas.openxmlformats.org/drawingml/2006/main" w="19050">
              <a:solidFill>
                <a:srgbClr val="80808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'3.원본데이터'!$N$2:$N$3</f>
            </numRef>
          </xVal>
          <yVal>
            <numRef>
              <f>'3.원본데이터'!$O$2:$O$3</f>
            </numRef>
          </yVal>
        </ser>
        <axId val="10"/>
        <axId val="20"/>
      </scatterChart>
      <valAx>
        <axId val="10"/>
        <scaling>
          <orientation val="minMax"/>
          <max val="5.3"/>
          <min val="-0.2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지시 부피 (mL)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3.7"/>
          <min val="8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센서 raw (cm)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저속 연속 스윕 (2 mL/min, 396표본) — 두 트랙을 넘나드는 톱니 = 반사면 2개의 증거</a:t>
            </a:r>
          </a:p>
        </rich>
      </tx>
    </title>
    <plotArea>
      <scatterChart>
        <ser>
          <idx val="0"/>
          <order val="0"/>
          <tx>
            <v>스윕</v>
          </tx>
          <spPr>
            <a:ln xmlns:a="http://schemas.openxmlformats.org/drawingml/2006/main" w="15875">
              <a:solidFill>
                <a:srgbClr val="5598E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'4.스윕데이터'!$A$2:$A$397</f>
            </numRef>
          </xVal>
          <yVal>
            <numRef>
              <f>'4.스윕데이터'!$B$2:$B$397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추정 부피 (mL)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3.7"/>
          <min val="8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센서 raw (cm)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16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2">
      <c r="B2" s="1" t="inlineStr">
        <is>
          <t>CH0 초음파 레벨센서 캘리브레이션 리포트</t>
        </is>
      </c>
    </row>
    <row r="3">
      <c r="B3" s="2" t="inlineStr">
        <is>
          <t>2026-07-28 · 펌프 Chemyx ID1(Group A) · 5 mL 주사기(⌀12.45 mm) · HC-SR04 @COM3 CH0 · 3왕복 × 0.3 mL 스텝 = 105점</t>
        </is>
      </c>
    </row>
    <row r="5">
      <c r="B5" s="3" t="inlineStr">
        <is>
          <t>[1] 이 실험이 무엇인지</t>
        </is>
      </c>
    </row>
    <row r="6">
      <c r="B6" s="4" t="inlineStr">
        <is>
          <t>시린지 펌프가 주사기 플런저를 0→5→0 mL로 3번 왕복시키면서, 0.3 mL 움직일 때마다 멈추고</t>
        </is>
      </c>
    </row>
    <row r="7">
      <c r="B7" s="4" t="inlineStr">
        <is>
          <t>초음파 센서가 플런저에 붙은 반사블록까지의 거리(raw, cm)를 측정했습니다.</t>
        </is>
      </c>
    </row>
    <row r="8">
      <c r="B8" s="4" t="inlineStr">
        <is>
          <t>목적: "거리(cm) ↔ 주사기 안 부피(mL)" 변환식을 만드는 것 = 캘리브레이션.</t>
        </is>
      </c>
    </row>
    <row r="9">
      <c r="B9" s="4" t="inlineStr">
        <is>
          <t>이 변환식이 있어야 소프트웨어가 센서 값만 보고 "주사기에 몇 mL 남았는지"를 알 수 있습니다.</t>
        </is>
      </c>
    </row>
    <row r="11">
      <c r="B11" s="3" t="inlineStr">
        <is>
          <t>[2] 용어 사전 — 표와 그래프를 읽기 위한 최소 지식</t>
        </is>
      </c>
    </row>
    <row r="12">
      <c r="B12" s="5" t="inlineStr">
        <is>
          <t>용어</t>
        </is>
      </c>
      <c r="C12" s="5" t="inlineStr">
        <is>
          <t>쉬운 설명</t>
        </is>
      </c>
    </row>
    <row r="13" ht="17" customHeight="1">
      <c r="B13" s="6" t="inlineStr">
        <is>
          <t>raw (cm)</t>
        </is>
      </c>
      <c r="C13" s="7" t="inlineStr">
        <is>
          <t>센서가 잰 반사블록까지의 거리. 플런저가 뒤로 갈수록(흡입) 커집니다.</t>
        </is>
      </c>
    </row>
    <row r="14" ht="17" customHeight="1">
      <c r="B14" s="6" t="inlineStr">
        <is>
          <t>캘리브레이션 커브</t>
        </is>
      </c>
      <c r="C14" s="7" t="inlineStr">
        <is>
          <t>부피(mL)와 raw(cm)의 관계 그래프. 이상적이라면 곧은 직선이어야 합니다.</t>
        </is>
      </c>
    </row>
    <row r="15" ht="30" customHeight="1">
      <c r="B15" s="6" t="inlineStr">
        <is>
          <t>선형 fit</t>
        </is>
      </c>
      <c r="C15" s="7" t="inlineStr">
        <is>
          <t>105개 점에 가장 잘 맞는 직선 하나. 식: 부피 = 기울기 × raw + 절편. 이 파일에선 엑셀 SLOPE/INTERCEPT 함수가 직접 계산합니다(시트2).</t>
        </is>
      </c>
    </row>
    <row r="16" ht="17" customHeight="1">
      <c r="B16" s="6" t="inlineStr">
        <is>
          <t>잔차 (µL)</t>
        </is>
      </c>
      <c r="C16" s="7" t="inlineStr">
        <is>
          <t>(실제 부피) − (직선식이 예측한 부피). 0에 가까울수록 그 지점에서 직선이 잘 맞는다는 뜻.</t>
        </is>
      </c>
    </row>
    <row r="17" ht="30" customHeight="1">
      <c r="B17" s="6" t="inlineStr">
        <is>
          <t>RMSE</t>
        </is>
      </c>
      <c r="C17" s="7" t="inlineStr">
        <is>
          <t>잔차들의 평균적인 크기. 445 µL = 직선식으로 부피를 읽으면 평균 ±0.45 mL쯤 틀린다는 뜻.</t>
        </is>
      </c>
    </row>
    <row r="18" ht="30" customHeight="1">
      <c r="B18" s="6" t="inlineStr">
        <is>
          <t>재현성 (스프레드)</t>
        </is>
      </c>
      <c r="C18" s="7" t="inlineStr">
        <is>
          <t>같은 위치를 3사이클 반복했을 때 값이 얼마나 같게 나오나. 작을수록 좋음. 대부분 0.01~0.11 cm(=수십 µL)로 매우 좋음.</t>
        </is>
      </c>
    </row>
    <row r="19" ht="30" customHeight="1">
      <c r="B19" s="6" t="inlineStr">
        <is>
          <t>왕복차</t>
        </is>
      </c>
      <c r="C19" s="7" t="inlineStr">
        <is>
          <t>올라갈 때(흡입)와 내려올 때(토출)의 값 차이. 기계 백래시가 있으면 커짐. 여기선 ~0.05 cm로 거의 없음.</t>
        </is>
      </c>
    </row>
    <row r="20" ht="30" customHeight="1">
      <c r="B20" s="6" t="inlineStr">
        <is>
          <t>쌍안정</t>
        </is>
      </c>
      <c r="C20" s="7" t="inlineStr">
        <is>
          <t>같은 위치인데 잴 때마다 두 값 중 하나가 랜덤하게 나오는 현상. 센서 빔 안에 반사면이 2개 있어 둘 중 하나를 잡기 때문. 5곳(0.6/0.9/2.7/3.0/3.9 mL)에서 발생 — 시트2에 노란색.</t>
        </is>
      </c>
    </row>
    <row r="21" ht="30" customHeight="1">
      <c r="B21" s="6" t="inlineStr">
        <is>
          <t>역행</t>
        </is>
      </c>
      <c r="C21" s="7" t="inlineStr">
        <is>
          <t>부피가 늘었는데 거리값이 줄어드는 물리적으로 불가능한 구간(예: 1.5→1.8 mL). 에코가 다른 반사면으로 갈아탔다는 결정적 증거.</t>
        </is>
      </c>
    </row>
    <row r="23">
      <c r="B23" s="3" t="inlineStr">
        <is>
          <t>[3] 핵심 결과 — 세 줄 요약</t>
        </is>
      </c>
    </row>
    <row r="24" ht="18" customHeight="1">
      <c r="B24" s="8" t="inlineStr">
        <is>
          <t>1) 0 mL(완전히 빈 상태)는 ±27 µL로 완벽하게 재현 → "비웠는지 검증" 용도로 즉시 사용 가능.</t>
        </is>
      </c>
    </row>
    <row r="25" ht="18" customHeight="1">
      <c r="B25" s="9" t="inlineStr">
        <is>
          <t>2) 전구간 위치측정은 현재 ±0.5 mL 수준 — 값은 잘 재현되지만 직선이 아닌 지그재그(계통 오차) + 쌍안정 5곳 때문.</t>
        </is>
      </c>
    </row>
    <row r="26" ht="18" customHeight="1">
      <c r="B26" s="10" t="inlineStr">
        <is>
          <t>3) 원인은 센서 고장이 아니라 반사면이 2개 보이는 기하 문제. 반사블록을 크고 평평하게 1개만 만들면 ±100 µL급 가능.</t>
        </is>
      </c>
    </row>
    <row r="28">
      <c r="B28" s="3" t="inlineStr">
        <is>
          <t>[4] 용도별 판정</t>
        </is>
      </c>
    </row>
    <row r="29" ht="26" customHeight="1">
      <c r="B29" s="11" t="inlineStr">
        <is>
          <t>용도</t>
        </is>
      </c>
      <c r="C29" s="12" t="n"/>
      <c r="D29" s="11" t="inlineStr">
        <is>
          <t>판정</t>
        </is>
      </c>
      <c r="E29" s="11" t="inlineStr">
        <is>
          <t>근거</t>
        </is>
      </c>
      <c r="F29" s="12" t="n"/>
      <c r="G29" s="12" t="n"/>
      <c r="H29" s="12" t="n"/>
    </row>
    <row r="30" ht="26" customHeight="1">
      <c r="B30" s="13" t="inlineStr">
        <is>
          <t>완전히 비웠는지 검증 (reagent)</t>
        </is>
      </c>
      <c r="C30" s="12" t="n"/>
      <c r="D30" s="14" t="inlineStr">
        <is>
          <t>◎ 사용 가능(정밀)</t>
        </is>
      </c>
      <c r="E30" s="13" t="inlineStr">
        <is>
          <t>0점이 ±27 µL로 고정, 0.3 mL 잔량과 8σ 이상 분리</t>
        </is>
      </c>
      <c r="F30" s="12" t="n"/>
      <c r="G30" s="12" t="n"/>
      <c r="H30" s="12" t="n"/>
    </row>
    <row r="31" ht="26" customHeight="1">
      <c r="B31" s="15" t="inlineStr">
        <is>
          <t>잔량 대략 파악 (solvent/run-dry)</t>
        </is>
      </c>
      <c r="C31" s="12" t="n"/>
      <c r="D31" s="16" t="inlineStr">
        <is>
          <t>○ 마진 ±0.7 mL 두면 가능</t>
        </is>
      </c>
      <c r="E31" s="15" t="inlineStr">
        <is>
          <t>RoboChem 원본 설계 스펙(수백 µL~1 mL '거친 게이트')과 동급</t>
        </is>
      </c>
      <c r="F31" s="12" t="n"/>
      <c r="G31" s="12" t="n"/>
      <c r="H31" s="12" t="n"/>
    </row>
    <row r="32" ht="26" customHeight="1">
      <c r="B32" s="17" t="inlineStr">
        <is>
          <t>정밀 위치/µL급 검증</t>
        </is>
      </c>
      <c r="C32" s="12" t="n"/>
      <c r="D32" s="18" t="inlineStr">
        <is>
          <t>△ 반사면 개선 후</t>
        </is>
      </c>
      <c r="E32" s="17" t="inlineStr">
        <is>
          <t>쌍안정·역행은 소프트웨어 보정 불가 → 물리 개선 필요</t>
        </is>
      </c>
      <c r="F32" s="12" t="n"/>
      <c r="G32" s="12" t="n"/>
      <c r="H32" s="12" t="n"/>
    </row>
    <row r="34">
      <c r="B34" s="3" t="inlineStr">
        <is>
          <t>[5] 소프트웨어 등록 권장값 (hardware_config.json → Group A)</t>
        </is>
      </c>
    </row>
    <row r="35">
      <c r="B35" s="4" t="inlineStr">
        <is>
          <t>level_cal_slope = 1.067760   /   level_cal_intercept = −9.2382 (0점 앵커: 빈 상태 raw 8.652 cm가 정확히 0 µL가 되도록)</t>
        </is>
      </c>
    </row>
    <row r="36">
      <c r="B36" s="4" t="inlineStr">
        <is>
          <t>level_empty_gate_ul = 500   /   level_samples = 20   /   level_policy = "reagent"</t>
        </is>
      </c>
    </row>
    <row r="38">
      <c r="B38" s="3" t="inlineStr">
        <is>
          <t>[6] 시트 안내</t>
        </is>
      </c>
    </row>
    <row r="39">
      <c r="B39" s="4" t="inlineStr">
        <is>
          <t>시트2 지점별통계 — 0.3 mL 지점별 요약표 + 오차 막대그래프. 노란 행 = 쌍안정 지점.</t>
        </is>
      </c>
    </row>
    <row r="40">
      <c r="B40" s="4" t="inlineStr">
        <is>
          <t>시트3 원본데이터 — 105점 전체 + 캘리브레이션 산점도(흡입 파랑/토출 주황/fit 직선). fit 예측·잔차는 엑셀 수식.</t>
        </is>
      </c>
    </row>
    <row r="41">
      <c r="B41" s="4" t="inlineStr">
        <is>
          <t>시트4 스윕데이터 — 저속 연속 스윕 396표본 + 선그래프. 두 트랙을 넘나드는 톱니가 '반사면 2개'의 직접 증거.</t>
        </is>
      </c>
    </row>
  </sheetData>
  <mergeCells count="36">
    <mergeCell ref="C16:H16"/>
    <mergeCell ref="B40:H40"/>
    <mergeCell ref="B9:H9"/>
    <mergeCell ref="B6:H6"/>
    <mergeCell ref="B24:H24"/>
    <mergeCell ref="B31:C31"/>
    <mergeCell ref="C12:H12"/>
    <mergeCell ref="B5:H5"/>
    <mergeCell ref="E32:H32"/>
    <mergeCell ref="C21:H21"/>
    <mergeCell ref="B36:H36"/>
    <mergeCell ref="B26:H26"/>
    <mergeCell ref="B41:H41"/>
    <mergeCell ref="B35:H35"/>
    <mergeCell ref="B7:H7"/>
    <mergeCell ref="C17:H17"/>
    <mergeCell ref="B25:H25"/>
    <mergeCell ref="C19:H19"/>
    <mergeCell ref="B29:C29"/>
    <mergeCell ref="C13:H13"/>
    <mergeCell ref="B39:H39"/>
    <mergeCell ref="E29:H29"/>
    <mergeCell ref="C18:H18"/>
    <mergeCell ref="B11:H11"/>
    <mergeCell ref="B23:H23"/>
    <mergeCell ref="C15:H15"/>
    <mergeCell ref="B8:H8"/>
    <mergeCell ref="B30:C30"/>
    <mergeCell ref="E31:H31"/>
    <mergeCell ref="C14:H14"/>
    <mergeCell ref="E30:H30"/>
    <mergeCell ref="B38:H38"/>
    <mergeCell ref="B32:C32"/>
    <mergeCell ref="C20:H20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13" customWidth="1" min="5" max="5"/>
    <col width="46" customWidth="1" min="6" max="6"/>
  </cols>
  <sheetData>
    <row r="1">
      <c r="A1" s="19" t="inlineStr">
        <is>
          <t>0.3 mL 지점별 통계 — 요약표</t>
        </is>
      </c>
    </row>
    <row r="2">
      <c r="A2" s="2" t="inlineStr">
        <is>
          <t>선형 fit (엑셀 SLOPE/INTERCEPT 함수가 시트3 원본에서 직접 계산):</t>
        </is>
      </c>
    </row>
    <row r="3">
      <c r="A3" s="20" t="inlineStr">
        <is>
          <t>기울기 slope</t>
        </is>
      </c>
      <c r="B3" s="21">
        <f>SLOPE('3.원본데이터'!C2:C106,'3.원본데이터'!D2:D106)</f>
        <v/>
      </c>
      <c r="D3" s="2" t="inlineStr">
        <is>
          <t>식:  부피(mL) = slope × raw(cm) + intercept</t>
        </is>
      </c>
    </row>
    <row r="4">
      <c r="A4" s="20" t="inlineStr">
        <is>
          <t>절편 intercept</t>
        </is>
      </c>
      <c r="B4" s="21">
        <f>INTERCEPT('3.원본데이터'!C2:C106,'3.원본데이터'!D2:D106)</f>
        <v/>
      </c>
      <c r="D4" s="2" t="inlineStr">
        <is>
          <t>노란 행 = 쌍안정 지점(같은 위치에서 두 값이 번갈아 나옴)</t>
        </is>
      </c>
    </row>
    <row r="5">
      <c r="A5" s="20" t="inlineStr">
        <is>
          <t>RMSE (µL)</t>
        </is>
      </c>
      <c r="B5" s="22">
        <f>SQRT(SUMPRODUCT(('3.원본데이터'!C2:C106-('3.원본데이터'!D2:D106*B3+B4))^2)/105)*1000</f>
        <v/>
      </c>
    </row>
    <row r="7">
      <c r="A7" s="23" t="inlineStr">
        <is>
          <t>부피 (mL)</t>
        </is>
      </c>
      <c r="B7" s="23" t="inlineStr">
        <is>
          <t>raw 평균 (cm)</t>
        </is>
      </c>
      <c r="C7" s="23" t="inlineStr">
        <is>
          <t>재현성: 스프레드 (cm)</t>
        </is>
      </c>
      <c r="D7" s="23" t="inlineStr">
        <is>
          <t>왕복차 up−down (cm)</t>
        </is>
      </c>
      <c r="E7" s="23" t="inlineStr">
        <is>
          <t>fit 잔차 (µL)</t>
        </is>
      </c>
      <c r="F7" s="23" t="inlineStr">
        <is>
          <t>해석</t>
        </is>
      </c>
    </row>
    <row r="8">
      <c r="A8" s="24" t="n">
        <v>0</v>
      </c>
      <c r="B8" s="25">
        <f>AVERAGEIFS('3.원본데이터'!$D$2:$D$106,'3.원본데이터'!$C$2:$C$106,$A8)</f>
        <v/>
      </c>
      <c r="C8" s="25">
        <f>MAXIFS('3.원본데이터'!$D$2:$D$106,'3.원본데이터'!$C$2:$C$106,$A8)-MINIFS('3.원본데이터'!$D$2:$D$106,'3.원본데이터'!$C$2:$C$106,$A8)</f>
        <v/>
      </c>
      <c r="D8" s="26">
        <f>IFERROR(AVERAGEIFS('3.원본데이터'!$D$2:$D$106,'3.원본데이터'!$C$2:$C$106,$A8,'3.원본데이터'!$B$2:$B$106,"흡입(up)")-AVERAGEIFS('3.원본데이터'!$D$2:$D$106,'3.원본데이터'!$C$2:$C$106,$A8,'3.원본데이터'!$B$2:$B$106,"토출(down)"),"—")</f>
        <v/>
      </c>
      <c r="E8" s="27">
        <f>($A8-(B8*$B$3+$B$4))*1000</f>
        <v/>
      </c>
      <c r="F8" s="28" t="inlineStr">
        <is>
          <t>★ empty 앵커 — 6회가 0.05 cm 안에 다 들어옴. 가장 신뢰</t>
        </is>
      </c>
    </row>
    <row r="9">
      <c r="A9" s="29" t="n">
        <v>0.3</v>
      </c>
      <c r="B9" s="30">
        <f>AVERAGEIFS('3.원본데이터'!$D$2:$D$106,'3.원본데이터'!$C$2:$C$106,$A9)</f>
        <v/>
      </c>
      <c r="C9" s="30">
        <f>MAXIFS('3.원본데이터'!$D$2:$D$106,'3.원본데이터'!$C$2:$C$106,$A9)-MINIFS('3.원본데이터'!$D$2:$D$106,'3.원본데이터'!$C$2:$C$106,$A9)</f>
        <v/>
      </c>
      <c r="D9" s="31">
        <f>IFERROR(AVERAGEIFS('3.원본데이터'!$D$2:$D$106,'3.원본데이터'!$C$2:$C$106,$A9,'3.원본데이터'!$B$2:$B$106,"흡입(up)")-AVERAGEIFS('3.원본데이터'!$D$2:$D$106,'3.원본데이터'!$C$2:$C$106,$A9,'3.원본데이터'!$B$2:$B$106,"토출(down)"),"—")</f>
        <v/>
      </c>
      <c r="E9" s="32">
        <f>($A9-(B9*$B$3+$B$4))*1000</f>
        <v/>
      </c>
      <c r="F9" s="33" t="inlineStr">
        <is>
          <t>정상 재현(스프레드 ≈ 수십 µL)</t>
        </is>
      </c>
    </row>
    <row r="10">
      <c r="A10" s="34" t="n">
        <v>0.6</v>
      </c>
      <c r="B10" s="35">
        <f>AVERAGEIFS('3.원본데이터'!$D$2:$D$106,'3.원본데이터'!$C$2:$C$106,$A10)</f>
        <v/>
      </c>
      <c r="C10" s="35">
        <f>MAXIFS('3.원본데이터'!$D$2:$D$106,'3.원본데이터'!$C$2:$C$106,$A10)-MINIFS('3.원본데이터'!$D$2:$D$106,'3.원본데이터'!$C$2:$C$106,$A10)</f>
        <v/>
      </c>
      <c r="D10" s="36">
        <f>IFERROR(AVERAGEIFS('3.원본데이터'!$D$2:$D$106,'3.원본데이터'!$C$2:$C$106,$A10,'3.원본데이터'!$B$2:$B$106,"흡입(up)")-AVERAGEIFS('3.원본데이터'!$D$2:$D$106,'3.원본데이터'!$C$2:$C$106,$A10,'3.원본데이터'!$B$2:$B$106,"토출(down)"),"—")</f>
        <v/>
      </c>
      <c r="E10" s="37">
        <f>($A10-(B10*$B$3+$B$4))*1000</f>
        <v/>
      </c>
      <c r="F10" s="38" t="inlineStr">
        <is>
          <t>쌍안정 — 사이클마다 두 값 중 하나로 토글</t>
        </is>
      </c>
    </row>
    <row r="11">
      <c r="A11" s="34" t="n">
        <v>0.9</v>
      </c>
      <c r="B11" s="35">
        <f>AVERAGEIFS('3.원본데이터'!$D$2:$D$106,'3.원본데이터'!$C$2:$C$106,$A11)</f>
        <v/>
      </c>
      <c r="C11" s="35">
        <f>MAXIFS('3.원본데이터'!$D$2:$D$106,'3.원본데이터'!$C$2:$C$106,$A11)-MINIFS('3.원본데이터'!$D$2:$D$106,'3.원본데이터'!$C$2:$C$106,$A11)</f>
        <v/>
      </c>
      <c r="D11" s="36">
        <f>IFERROR(AVERAGEIFS('3.원본데이터'!$D$2:$D$106,'3.원본데이터'!$C$2:$C$106,$A11,'3.원본데이터'!$B$2:$B$106,"흡입(up)")-AVERAGEIFS('3.원본데이터'!$D$2:$D$106,'3.원본데이터'!$C$2:$C$106,$A11,'3.원본데이터'!$B$2:$B$106,"토출(down)"),"—")</f>
        <v/>
      </c>
      <c r="E11" s="37">
        <f>($A11-(B11*$B$3+$B$4))*1000</f>
        <v/>
      </c>
      <c r="F11" s="38" t="inlineStr">
        <is>
          <t>쌍안정 — 사이클마다 두 값 중 하나로 토글</t>
        </is>
      </c>
    </row>
    <row r="12">
      <c r="A12" s="29" t="n">
        <v>1.2</v>
      </c>
      <c r="B12" s="30">
        <f>AVERAGEIFS('3.원본데이터'!$D$2:$D$106,'3.원본데이터'!$C$2:$C$106,$A12)</f>
        <v/>
      </c>
      <c r="C12" s="30">
        <f>MAXIFS('3.원본데이터'!$D$2:$D$106,'3.원본데이터'!$C$2:$C$106,$A12)-MINIFS('3.원본데이터'!$D$2:$D$106,'3.원본데이터'!$C$2:$C$106,$A12)</f>
        <v/>
      </c>
      <c r="D12" s="31">
        <f>IFERROR(AVERAGEIFS('3.원본데이터'!$D$2:$D$106,'3.원본데이터'!$C$2:$C$106,$A12,'3.원본데이터'!$B$2:$B$106,"흡입(up)")-AVERAGEIFS('3.원본데이터'!$D$2:$D$106,'3.원본데이터'!$C$2:$C$106,$A12,'3.원본데이터'!$B$2:$B$106,"토출(down)"),"—")</f>
        <v/>
      </c>
      <c r="E12" s="32">
        <f>($A12-(B12*$B$3+$B$4))*1000</f>
        <v/>
      </c>
      <c r="F12" s="33" t="inlineStr">
        <is>
          <t>정상 재현(스프레드 ≈ 수십 µL)</t>
        </is>
      </c>
    </row>
    <row r="13">
      <c r="A13" s="29" t="n">
        <v>1.5</v>
      </c>
      <c r="B13" s="30">
        <f>AVERAGEIFS('3.원본데이터'!$D$2:$D$106,'3.원본데이터'!$C$2:$C$106,$A13)</f>
        <v/>
      </c>
      <c r="C13" s="30">
        <f>MAXIFS('3.원본데이터'!$D$2:$D$106,'3.원본데이터'!$C$2:$C$106,$A13)-MINIFS('3.원본데이터'!$D$2:$D$106,'3.원본데이터'!$C$2:$C$106,$A13)</f>
        <v/>
      </c>
      <c r="D13" s="31">
        <f>IFERROR(AVERAGEIFS('3.원본데이터'!$D$2:$D$106,'3.원본데이터'!$C$2:$C$106,$A13,'3.원본데이터'!$B$2:$B$106,"흡입(up)")-AVERAGEIFS('3.원본데이터'!$D$2:$D$106,'3.원본데이터'!$C$2:$C$106,$A13,'3.원본데이터'!$B$2:$B$106,"토출(down)"),"—")</f>
        <v/>
      </c>
      <c r="E13" s="32">
        <f>($A13-(B13*$B$3+$B$4))*1000</f>
        <v/>
      </c>
      <c r="F13" s="33" t="inlineStr">
        <is>
          <t>정상 재현(스프레드 ≈ 수십 µL)</t>
        </is>
      </c>
    </row>
    <row r="14">
      <c r="A14" s="29" t="n">
        <v>1.8</v>
      </c>
      <c r="B14" s="30">
        <f>AVERAGEIFS('3.원본데이터'!$D$2:$D$106,'3.원본데이터'!$C$2:$C$106,$A14)</f>
        <v/>
      </c>
      <c r="C14" s="30">
        <f>MAXIFS('3.원본데이터'!$D$2:$D$106,'3.원본데이터'!$C$2:$C$106,$A14)-MINIFS('3.원본데이터'!$D$2:$D$106,'3.원본데이터'!$C$2:$C$106,$A14)</f>
        <v/>
      </c>
      <c r="D14" s="31">
        <f>IFERROR(AVERAGEIFS('3.원본데이터'!$D$2:$D$106,'3.원본데이터'!$C$2:$C$106,$A14,'3.원본데이터'!$B$2:$B$106,"흡입(up)")-AVERAGEIFS('3.원본데이터'!$D$2:$D$106,'3.원본데이터'!$C$2:$C$106,$A14,'3.원본데이터'!$B$2:$B$106,"토출(down)"),"—")</f>
        <v/>
      </c>
      <c r="E14" s="32">
        <f>($A14-(B14*$B$3+$B$4))*1000</f>
        <v/>
      </c>
      <c r="F14" s="33" t="inlineStr">
        <is>
          <t>역행 구간 — 1.5 mL보다 raw가 작음(반사면 갈아탐)</t>
        </is>
      </c>
    </row>
    <row r="15">
      <c r="A15" s="29" t="n">
        <v>2.1</v>
      </c>
      <c r="B15" s="30">
        <f>AVERAGEIFS('3.원본데이터'!$D$2:$D$106,'3.원본데이터'!$C$2:$C$106,$A15)</f>
        <v/>
      </c>
      <c r="C15" s="30">
        <f>MAXIFS('3.원본데이터'!$D$2:$D$106,'3.원본데이터'!$C$2:$C$106,$A15)-MINIFS('3.원본데이터'!$D$2:$D$106,'3.원본데이터'!$C$2:$C$106,$A15)</f>
        <v/>
      </c>
      <c r="D15" s="31">
        <f>IFERROR(AVERAGEIFS('3.원본데이터'!$D$2:$D$106,'3.원본데이터'!$C$2:$C$106,$A15,'3.원본데이터'!$B$2:$B$106,"흡입(up)")-AVERAGEIFS('3.원본데이터'!$D$2:$D$106,'3.원본데이터'!$C$2:$C$106,$A15,'3.원본데이터'!$B$2:$B$106,"토출(down)"),"—")</f>
        <v/>
      </c>
      <c r="E15" s="32">
        <f>($A15-(B15*$B$3+$B$4))*1000</f>
        <v/>
      </c>
      <c r="F15" s="33" t="inlineStr">
        <is>
          <t>정상 재현(스프레드 ≈ 수십 µL)</t>
        </is>
      </c>
    </row>
    <row r="16">
      <c r="A16" s="29" t="n">
        <v>2.4</v>
      </c>
      <c r="B16" s="30">
        <f>AVERAGEIFS('3.원본데이터'!$D$2:$D$106,'3.원본데이터'!$C$2:$C$106,$A16)</f>
        <v/>
      </c>
      <c r="C16" s="30">
        <f>MAXIFS('3.원본데이터'!$D$2:$D$106,'3.원본데이터'!$C$2:$C$106,$A16)-MINIFS('3.원본데이터'!$D$2:$D$106,'3.원본데이터'!$C$2:$C$106,$A16)</f>
        <v/>
      </c>
      <c r="D16" s="31">
        <f>IFERROR(AVERAGEIFS('3.원본데이터'!$D$2:$D$106,'3.원본데이터'!$C$2:$C$106,$A16,'3.원본데이터'!$B$2:$B$106,"흡입(up)")-AVERAGEIFS('3.원본데이터'!$D$2:$D$106,'3.원본데이터'!$C$2:$C$106,$A16,'3.원본데이터'!$B$2:$B$106,"토출(down)"),"—")</f>
        <v/>
      </c>
      <c r="E16" s="32">
        <f>($A16-(B16*$B$3+$B$4))*1000</f>
        <v/>
      </c>
      <c r="F16" s="33" t="inlineStr">
        <is>
          <t>정상 재현(스프레드 ≈ 수십 µL)</t>
        </is>
      </c>
    </row>
    <row r="17">
      <c r="A17" s="34" t="n">
        <v>2.7</v>
      </c>
      <c r="B17" s="35">
        <f>AVERAGEIFS('3.원본데이터'!$D$2:$D$106,'3.원본데이터'!$C$2:$C$106,$A17)</f>
        <v/>
      </c>
      <c r="C17" s="35">
        <f>MAXIFS('3.원본데이터'!$D$2:$D$106,'3.원본데이터'!$C$2:$C$106,$A17)-MINIFS('3.원본데이터'!$D$2:$D$106,'3.원본데이터'!$C$2:$C$106,$A17)</f>
        <v/>
      </c>
      <c r="D17" s="36">
        <f>IFERROR(AVERAGEIFS('3.원본데이터'!$D$2:$D$106,'3.원본데이터'!$C$2:$C$106,$A17,'3.원본데이터'!$B$2:$B$106,"흡입(up)")-AVERAGEIFS('3.원본데이터'!$D$2:$D$106,'3.원본데이터'!$C$2:$C$106,$A17,'3.원본데이터'!$B$2:$B$106,"토출(down)"),"—")</f>
        <v/>
      </c>
      <c r="E17" s="37">
        <f>($A17-(B17*$B$3+$B$4))*1000</f>
        <v/>
      </c>
      <c r="F17" s="38" t="inlineStr">
        <is>
          <t>쌍안정 — 사이클마다 두 값 중 하나로 토글</t>
        </is>
      </c>
    </row>
    <row r="18">
      <c r="A18" s="34" t="n">
        <v>3</v>
      </c>
      <c r="B18" s="35">
        <f>AVERAGEIFS('3.원본데이터'!$D$2:$D$106,'3.원본데이터'!$C$2:$C$106,$A18)</f>
        <v/>
      </c>
      <c r="C18" s="35">
        <f>MAXIFS('3.원본데이터'!$D$2:$D$106,'3.원본데이터'!$C$2:$C$106,$A18)-MINIFS('3.원본데이터'!$D$2:$D$106,'3.원본데이터'!$C$2:$C$106,$A18)</f>
        <v/>
      </c>
      <c r="D18" s="36">
        <f>IFERROR(AVERAGEIFS('3.원본데이터'!$D$2:$D$106,'3.원본데이터'!$C$2:$C$106,$A18,'3.원본데이터'!$B$2:$B$106,"흡입(up)")-AVERAGEIFS('3.원본데이터'!$D$2:$D$106,'3.원본데이터'!$C$2:$C$106,$A18,'3.원본데이터'!$B$2:$B$106,"토출(down)"),"—")</f>
        <v/>
      </c>
      <c r="E18" s="37">
        <f>($A18-(B18*$B$3+$B$4))*1000</f>
        <v/>
      </c>
      <c r="F18" s="38" t="inlineStr">
        <is>
          <t>쌍안정 — 사이클마다 두 값 중 하나로 토글</t>
        </is>
      </c>
    </row>
    <row r="19">
      <c r="A19" s="29" t="n">
        <v>3.3</v>
      </c>
      <c r="B19" s="30">
        <f>AVERAGEIFS('3.원본데이터'!$D$2:$D$106,'3.원본데이터'!$C$2:$C$106,$A19)</f>
        <v/>
      </c>
      <c r="C19" s="30">
        <f>MAXIFS('3.원본데이터'!$D$2:$D$106,'3.원본데이터'!$C$2:$C$106,$A19)-MINIFS('3.원본데이터'!$D$2:$D$106,'3.원본데이터'!$C$2:$C$106,$A19)</f>
        <v/>
      </c>
      <c r="D19" s="31">
        <f>IFERROR(AVERAGEIFS('3.원본데이터'!$D$2:$D$106,'3.원본데이터'!$C$2:$C$106,$A19,'3.원본데이터'!$B$2:$B$106,"흡입(up)")-AVERAGEIFS('3.원본데이터'!$D$2:$D$106,'3.원본데이터'!$C$2:$C$106,$A19,'3.원본데이터'!$B$2:$B$106,"토출(down)"),"—")</f>
        <v/>
      </c>
      <c r="E19" s="32">
        <f>($A19-(B19*$B$3+$B$4))*1000</f>
        <v/>
      </c>
      <c r="F19" s="33" t="inlineStr">
        <is>
          <t>정상 재현(스프레드 ≈ 수십 µL)</t>
        </is>
      </c>
    </row>
    <row r="20">
      <c r="A20" s="29" t="n">
        <v>3.6</v>
      </c>
      <c r="B20" s="30">
        <f>AVERAGEIFS('3.원본데이터'!$D$2:$D$106,'3.원본데이터'!$C$2:$C$106,$A20)</f>
        <v/>
      </c>
      <c r="C20" s="30">
        <f>MAXIFS('3.원본데이터'!$D$2:$D$106,'3.원본데이터'!$C$2:$C$106,$A20)-MINIFS('3.원본데이터'!$D$2:$D$106,'3.원본데이터'!$C$2:$C$106,$A20)</f>
        <v/>
      </c>
      <c r="D20" s="31">
        <f>IFERROR(AVERAGEIFS('3.원본데이터'!$D$2:$D$106,'3.원본데이터'!$C$2:$C$106,$A20,'3.원본데이터'!$B$2:$B$106,"흡입(up)")-AVERAGEIFS('3.원본데이터'!$D$2:$D$106,'3.원본데이터'!$C$2:$C$106,$A20,'3.원본데이터'!$B$2:$B$106,"토출(down)"),"—")</f>
        <v/>
      </c>
      <c r="E20" s="32">
        <f>($A20-(B20*$B$3+$B$4))*1000</f>
        <v/>
      </c>
      <c r="F20" s="33" t="inlineStr">
        <is>
          <t>정상 재현(스프레드 ≈ 수십 µL)</t>
        </is>
      </c>
    </row>
    <row r="21">
      <c r="A21" s="34" t="n">
        <v>3.9</v>
      </c>
      <c r="B21" s="35">
        <f>AVERAGEIFS('3.원본데이터'!$D$2:$D$106,'3.원본데이터'!$C$2:$C$106,$A21)</f>
        <v/>
      </c>
      <c r="C21" s="35">
        <f>MAXIFS('3.원본데이터'!$D$2:$D$106,'3.원본데이터'!$C$2:$C$106,$A21)-MINIFS('3.원본데이터'!$D$2:$D$106,'3.원본데이터'!$C$2:$C$106,$A21)</f>
        <v/>
      </c>
      <c r="D21" s="36">
        <f>IFERROR(AVERAGEIFS('3.원본데이터'!$D$2:$D$106,'3.원본데이터'!$C$2:$C$106,$A21,'3.원본데이터'!$B$2:$B$106,"흡입(up)")-AVERAGEIFS('3.원본데이터'!$D$2:$D$106,'3.원본데이터'!$C$2:$C$106,$A21,'3.원본데이터'!$B$2:$B$106,"토출(down)"),"—")</f>
        <v/>
      </c>
      <c r="E21" s="37">
        <f>($A21-(B21*$B$3+$B$4))*1000</f>
        <v/>
      </c>
      <c r="F21" s="38" t="inlineStr">
        <is>
          <t>쌍안정 — 사이클마다 두 값 중 하나로 토글</t>
        </is>
      </c>
    </row>
    <row r="22">
      <c r="A22" s="29" t="n">
        <v>4.2</v>
      </c>
      <c r="B22" s="30">
        <f>AVERAGEIFS('3.원본데이터'!$D$2:$D$106,'3.원본데이터'!$C$2:$C$106,$A22)</f>
        <v/>
      </c>
      <c r="C22" s="30">
        <f>MAXIFS('3.원본데이터'!$D$2:$D$106,'3.원본데이터'!$C$2:$C$106,$A22)-MINIFS('3.원본데이터'!$D$2:$D$106,'3.원본데이터'!$C$2:$C$106,$A22)</f>
        <v/>
      </c>
      <c r="D22" s="31">
        <f>IFERROR(AVERAGEIFS('3.원본데이터'!$D$2:$D$106,'3.원본데이터'!$C$2:$C$106,$A22,'3.원본데이터'!$B$2:$B$106,"흡입(up)")-AVERAGEIFS('3.원본데이터'!$D$2:$D$106,'3.원본데이터'!$C$2:$C$106,$A22,'3.원본데이터'!$B$2:$B$106,"토출(down)"),"—")</f>
        <v/>
      </c>
      <c r="E22" s="32">
        <f>($A22-(B22*$B$3+$B$4))*1000</f>
        <v/>
      </c>
      <c r="F22" s="33" t="inlineStr">
        <is>
          <t>역행 구간 — 4.5 mL보다 raw가 큼</t>
        </is>
      </c>
    </row>
    <row r="23">
      <c r="A23" s="29" t="n">
        <v>4.5</v>
      </c>
      <c r="B23" s="30">
        <f>AVERAGEIFS('3.원본데이터'!$D$2:$D$106,'3.원본데이터'!$C$2:$C$106,$A23)</f>
        <v/>
      </c>
      <c r="C23" s="30">
        <f>MAXIFS('3.원본데이터'!$D$2:$D$106,'3.원본데이터'!$C$2:$C$106,$A23)-MINIFS('3.원본데이터'!$D$2:$D$106,'3.원본데이터'!$C$2:$C$106,$A23)</f>
        <v/>
      </c>
      <c r="D23" s="31">
        <f>IFERROR(AVERAGEIFS('3.원본데이터'!$D$2:$D$106,'3.원본데이터'!$C$2:$C$106,$A23,'3.원본데이터'!$B$2:$B$106,"흡입(up)")-AVERAGEIFS('3.원본데이터'!$D$2:$D$106,'3.원본데이터'!$C$2:$C$106,$A23,'3.원본데이터'!$B$2:$B$106,"토출(down)"),"—")</f>
        <v/>
      </c>
      <c r="E23" s="32">
        <f>($A23-(B23*$B$3+$B$4))*1000</f>
        <v/>
      </c>
      <c r="F23" s="33" t="inlineStr">
        <is>
          <t>정상 재현(스프레드 ≈ 수십 µL)</t>
        </is>
      </c>
    </row>
    <row r="24">
      <c r="A24" s="29" t="n">
        <v>4.8</v>
      </c>
      <c r="B24" s="30">
        <f>AVERAGEIFS('3.원본데이터'!$D$2:$D$106,'3.원본데이터'!$C$2:$C$106,$A24)</f>
        <v/>
      </c>
      <c r="C24" s="30">
        <f>MAXIFS('3.원본데이터'!$D$2:$D$106,'3.원본데이터'!$C$2:$C$106,$A24)-MINIFS('3.원본데이터'!$D$2:$D$106,'3.원본데이터'!$C$2:$C$106,$A24)</f>
        <v/>
      </c>
      <c r="D24" s="31">
        <f>IFERROR(AVERAGEIFS('3.원본데이터'!$D$2:$D$106,'3.원본데이터'!$C$2:$C$106,$A24,'3.원본데이터'!$B$2:$B$106,"흡입(up)")-AVERAGEIFS('3.원본데이터'!$D$2:$D$106,'3.원본데이터'!$C$2:$C$106,$A24,'3.원본데이터'!$B$2:$B$106,"토출(down)"),"—")</f>
        <v/>
      </c>
      <c r="E24" s="32">
        <f>($A24-(B24*$B$3+$B$4))*1000</f>
        <v/>
      </c>
      <c r="F24" s="33" t="inlineStr">
        <is>
          <t>정상 재현(스프레드 ≈ 수십 µL)</t>
        </is>
      </c>
    </row>
    <row r="25">
      <c r="A25" s="29" t="n">
        <v>5</v>
      </c>
      <c r="B25" s="30">
        <f>AVERAGEIFS('3.원본데이터'!$D$2:$D$106,'3.원본데이터'!$C$2:$C$106,$A25)</f>
        <v/>
      </c>
      <c r="C25" s="30">
        <f>MAXIFS('3.원본데이터'!$D$2:$D$106,'3.원본데이터'!$C$2:$C$106,$A25)-MINIFS('3.원본데이터'!$D$2:$D$106,'3.원본데이터'!$C$2:$C$106,$A25)</f>
        <v/>
      </c>
      <c r="D25" s="31">
        <f>IFERROR(AVERAGEIFS('3.원본데이터'!$D$2:$D$106,'3.원본데이터'!$C$2:$C$106,$A25,'3.원본데이터'!$B$2:$B$106,"흡입(up)")-AVERAGEIFS('3.원본데이터'!$D$2:$D$106,'3.원본데이터'!$C$2:$C$106,$A25,'3.원본데이터'!$B$2:$B$106,"토출(down)"),"—")</f>
        <v/>
      </c>
      <c r="E25" s="32">
        <f>($A25-(B25*$B$3+$B$4))*1000</f>
        <v/>
      </c>
      <c r="F25" s="33" t="inlineStr">
        <is>
          <t>왕복차 없음(토출 방문 없음, 흡입 종점만)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39" t="inlineStr">
        <is>
          <t>사이클</t>
        </is>
      </c>
      <c r="B1" s="39" t="inlineStr">
        <is>
          <t>방향</t>
        </is>
      </c>
      <c r="C1" s="39" t="inlineStr">
        <is>
          <t>부피(mL)</t>
        </is>
      </c>
      <c r="D1" s="39" t="inlineStr">
        <is>
          <t>raw(cm)</t>
        </is>
      </c>
      <c r="E1" s="39" t="inlineStr">
        <is>
          <t>fit 예측(mL)</t>
        </is>
      </c>
      <c r="F1" s="39" t="inlineStr">
        <is>
          <t>잔차(µL)</t>
        </is>
      </c>
      <c r="H1" t="inlineStr">
        <is>
          <t>[차트용] 흡입</t>
        </is>
      </c>
      <c r="K1" t="inlineStr">
        <is>
          <t>[차트용] 토출</t>
        </is>
      </c>
      <c r="N1" t="inlineStr">
        <is>
          <t>[차트용] fit 직선</t>
        </is>
      </c>
    </row>
    <row r="2">
      <c r="A2" t="n">
        <v>1</v>
      </c>
      <c r="B2" t="inlineStr">
        <is>
          <t>흡입(up)</t>
        </is>
      </c>
      <c r="C2" s="40" t="n">
        <v>0</v>
      </c>
      <c r="D2" s="41" t="n">
        <v>8.609999999999999</v>
      </c>
      <c r="E2" s="41">
        <f>D2*'2.지점별통계'!$B$3+'2.지점별통계'!$B$4</f>
        <v/>
      </c>
      <c r="F2" s="42">
        <f>(C2-E2)*1000</f>
        <v/>
      </c>
      <c r="H2" t="inlineStr">
        <is>
          <t>부피</t>
        </is>
      </c>
      <c r="I2" t="inlineStr">
        <is>
          <t>raw</t>
        </is>
      </c>
      <c r="K2" t="inlineStr">
        <is>
          <t>부피</t>
        </is>
      </c>
      <c r="L2" t="inlineStr">
        <is>
          <t>raw</t>
        </is>
      </c>
      <c r="N2" t="n">
        <v>0</v>
      </c>
      <c r="O2">
        <f>(N2-'2.지점별통계'!$B$4)/'2.지점별통계'!$B$3</f>
        <v/>
      </c>
    </row>
    <row r="3">
      <c r="A3" t="n">
        <v>1</v>
      </c>
      <c r="B3" t="inlineStr">
        <is>
          <t>흡입(up)</t>
        </is>
      </c>
      <c r="C3" s="40" t="n">
        <v>0.3</v>
      </c>
      <c r="D3" s="41" t="n">
        <v>9.34</v>
      </c>
      <c r="E3" s="41">
        <f>D3*'2.지점별통계'!$B$3+'2.지점별통계'!$B$4</f>
        <v/>
      </c>
      <c r="F3" s="42">
        <f>(C3-E3)*1000</f>
        <v/>
      </c>
      <c r="H3" t="n">
        <v>0</v>
      </c>
      <c r="I3" t="n">
        <v>8.609999999999999</v>
      </c>
      <c r="K3" t="n">
        <v>4.8</v>
      </c>
      <c r="L3" t="n">
        <v>12.97</v>
      </c>
      <c r="N3" t="n">
        <v>5</v>
      </c>
      <c r="O3">
        <f>(N3-'2.지점별통계'!$B$4)/'2.지점별통계'!$B$3</f>
        <v/>
      </c>
    </row>
    <row r="4">
      <c r="A4" t="n">
        <v>1</v>
      </c>
      <c r="B4" t="inlineStr">
        <is>
          <t>흡입(up)</t>
        </is>
      </c>
      <c r="C4" s="40" t="n">
        <v>0.6</v>
      </c>
      <c r="D4" s="41" t="n">
        <v>8.609999999999999</v>
      </c>
      <c r="E4" s="41">
        <f>D4*'2.지점별통계'!$B$3+'2.지점별통계'!$B$4</f>
        <v/>
      </c>
      <c r="F4" s="42">
        <f>(C4-E4)*1000</f>
        <v/>
      </c>
      <c r="H4" t="n">
        <v>0.3</v>
      </c>
      <c r="I4" t="n">
        <v>9.34</v>
      </c>
      <c r="K4" t="n">
        <v>4.5</v>
      </c>
      <c r="L4" t="n">
        <v>12.3</v>
      </c>
    </row>
    <row r="5">
      <c r="A5" t="n">
        <v>1</v>
      </c>
      <c r="B5" t="inlineStr">
        <is>
          <t>흡입(up)</t>
        </is>
      </c>
      <c r="C5" s="40" t="n">
        <v>0.9</v>
      </c>
      <c r="D5" s="41" t="n">
        <v>9.279999999999999</v>
      </c>
      <c r="E5" s="41">
        <f>D5*'2.지점별통계'!$B$3+'2.지점별통계'!$B$4</f>
        <v/>
      </c>
      <c r="F5" s="42">
        <f>(C5-E5)*1000</f>
        <v/>
      </c>
      <c r="H5" t="n">
        <v>0.6</v>
      </c>
      <c r="I5" t="n">
        <v>8.609999999999999</v>
      </c>
      <c r="K5" t="n">
        <v>4.2</v>
      </c>
      <c r="L5" t="n">
        <v>12.97</v>
      </c>
    </row>
    <row r="6">
      <c r="A6" t="n">
        <v>1</v>
      </c>
      <c r="B6" t="inlineStr">
        <is>
          <t>흡입(up)</t>
        </is>
      </c>
      <c r="C6" s="40" t="n">
        <v>1.2</v>
      </c>
      <c r="D6" s="41" t="n">
        <v>9.720000000000001</v>
      </c>
      <c r="E6" s="41">
        <f>D6*'2.지점별통계'!$B$3+'2.지점별통계'!$B$4</f>
        <v/>
      </c>
      <c r="F6" s="42">
        <f>(C6-E6)*1000</f>
        <v/>
      </c>
      <c r="H6" t="n">
        <v>0.9</v>
      </c>
      <c r="I6" t="n">
        <v>9.279999999999999</v>
      </c>
      <c r="K6" t="n">
        <v>3.9</v>
      </c>
      <c r="L6" t="n">
        <v>11.28</v>
      </c>
    </row>
    <row r="7">
      <c r="A7" t="n">
        <v>1</v>
      </c>
      <c r="B7" t="inlineStr">
        <is>
          <t>흡입(up)</t>
        </is>
      </c>
      <c r="C7" s="40" t="n">
        <v>1.5</v>
      </c>
      <c r="D7" s="41" t="n">
        <v>10.29</v>
      </c>
      <c r="E7" s="41">
        <f>D7*'2.지점별통계'!$B$3+'2.지점별통계'!$B$4</f>
        <v/>
      </c>
      <c r="F7" s="42">
        <f>(C7-E7)*1000</f>
        <v/>
      </c>
      <c r="H7" t="n">
        <v>1.2</v>
      </c>
      <c r="I7" t="n">
        <v>9.720000000000001</v>
      </c>
      <c r="K7" t="n">
        <v>3.6</v>
      </c>
      <c r="L7" t="n">
        <v>11.97</v>
      </c>
    </row>
    <row r="8">
      <c r="A8" t="n">
        <v>1</v>
      </c>
      <c r="B8" t="inlineStr">
        <is>
          <t>흡입(up)</t>
        </is>
      </c>
      <c r="C8" s="40" t="n">
        <v>1.8</v>
      </c>
      <c r="D8" s="41" t="n">
        <v>9.664999999999999</v>
      </c>
      <c r="E8" s="41">
        <f>D8*'2.지점별통계'!$B$3+'2.지점별통계'!$B$4</f>
        <v/>
      </c>
      <c r="F8" s="42">
        <f>(C8-E8)*1000</f>
        <v/>
      </c>
      <c r="H8" t="n">
        <v>1.5</v>
      </c>
      <c r="I8" t="n">
        <v>10.29</v>
      </c>
      <c r="K8" t="n">
        <v>3.3</v>
      </c>
      <c r="L8" t="n">
        <v>11.28</v>
      </c>
    </row>
    <row r="9">
      <c r="A9" t="n">
        <v>1</v>
      </c>
      <c r="B9" t="inlineStr">
        <is>
          <t>흡입(up)</t>
        </is>
      </c>
      <c r="C9" s="40" t="n">
        <v>2.1</v>
      </c>
      <c r="D9" s="41" t="n">
        <v>10.335</v>
      </c>
      <c r="E9" s="41">
        <f>D9*'2.지점별통계'!$B$3+'2.지점별통계'!$B$4</f>
        <v/>
      </c>
      <c r="F9" s="42">
        <f>(C9-E9)*1000</f>
        <v/>
      </c>
      <c r="H9" t="n">
        <v>1.8</v>
      </c>
      <c r="I9" t="n">
        <v>9.664999999999999</v>
      </c>
      <c r="K9" t="n">
        <v>3</v>
      </c>
      <c r="L9" t="n">
        <v>11.96</v>
      </c>
    </row>
    <row r="10">
      <c r="A10" t="n">
        <v>1</v>
      </c>
      <c r="B10" t="inlineStr">
        <is>
          <t>흡입(up)</t>
        </is>
      </c>
      <c r="C10" s="40" t="n">
        <v>2.4</v>
      </c>
      <c r="D10" s="41" t="n">
        <v>11.01</v>
      </c>
      <c r="E10" s="41">
        <f>D10*'2.지점별통계'!$B$3+'2.지점별통계'!$B$4</f>
        <v/>
      </c>
      <c r="F10" s="42">
        <f>(C10-E10)*1000</f>
        <v/>
      </c>
      <c r="H10" t="n">
        <v>2.1</v>
      </c>
      <c r="I10" t="n">
        <v>10.335</v>
      </c>
      <c r="K10" t="n">
        <v>2.7</v>
      </c>
      <c r="L10" t="n">
        <v>10</v>
      </c>
    </row>
    <row r="11">
      <c r="A11" t="n">
        <v>1</v>
      </c>
      <c r="B11" t="inlineStr">
        <is>
          <t>흡입(up)</t>
        </is>
      </c>
      <c r="C11" s="40" t="n">
        <v>2.7</v>
      </c>
      <c r="D11" s="41" t="n">
        <v>11.28</v>
      </c>
      <c r="E11" s="41">
        <f>D11*'2.지점별통계'!$B$3+'2.지점별통계'!$B$4</f>
        <v/>
      </c>
      <c r="F11" s="42">
        <f>(C11-E11)*1000</f>
        <v/>
      </c>
      <c r="H11" t="n">
        <v>2.4</v>
      </c>
      <c r="I11" t="n">
        <v>11.01</v>
      </c>
      <c r="K11" t="n">
        <v>2.4</v>
      </c>
      <c r="L11" t="n">
        <v>11.06</v>
      </c>
    </row>
    <row r="12">
      <c r="A12" t="n">
        <v>1</v>
      </c>
      <c r="B12" t="inlineStr">
        <is>
          <t>흡입(up)</t>
        </is>
      </c>
      <c r="C12" s="40" t="n">
        <v>3</v>
      </c>
      <c r="D12" s="41" t="n">
        <v>10.96</v>
      </c>
      <c r="E12" s="41">
        <f>D12*'2.지점별통계'!$B$3+'2.지점별통계'!$B$4</f>
        <v/>
      </c>
      <c r="F12" s="42">
        <f>(C12-E12)*1000</f>
        <v/>
      </c>
      <c r="H12" t="n">
        <v>2.7</v>
      </c>
      <c r="I12" t="n">
        <v>11.28</v>
      </c>
      <c r="K12" t="n">
        <v>2.1</v>
      </c>
      <c r="L12" t="n">
        <v>10.29</v>
      </c>
    </row>
    <row r="13">
      <c r="A13" t="n">
        <v>1</v>
      </c>
      <c r="B13" t="inlineStr">
        <is>
          <t>흡입(up)</t>
        </is>
      </c>
      <c r="C13" s="40" t="n">
        <v>3.3</v>
      </c>
      <c r="D13" s="41" t="n">
        <v>11.39</v>
      </c>
      <c r="E13" s="41">
        <f>D13*'2.지점별통계'!$B$3+'2.지점별통계'!$B$4</f>
        <v/>
      </c>
      <c r="F13" s="42">
        <f>(C13-E13)*1000</f>
        <v/>
      </c>
      <c r="H13" t="n">
        <v>3</v>
      </c>
      <c r="I13" t="n">
        <v>10.96</v>
      </c>
      <c r="K13" t="n">
        <v>1.8</v>
      </c>
      <c r="L13" t="n">
        <v>9.67</v>
      </c>
    </row>
    <row r="14">
      <c r="A14" t="n">
        <v>1</v>
      </c>
      <c r="B14" t="inlineStr">
        <is>
          <t>흡입(up)</t>
        </is>
      </c>
      <c r="C14" s="40" t="n">
        <v>3.6</v>
      </c>
      <c r="D14" s="41" t="n">
        <v>11.97</v>
      </c>
      <c r="E14" s="41">
        <f>D14*'2.지점별통계'!$B$3+'2.지점별통계'!$B$4</f>
        <v/>
      </c>
      <c r="F14" s="42">
        <f>(C14-E14)*1000</f>
        <v/>
      </c>
      <c r="H14" t="n">
        <v>3.3</v>
      </c>
      <c r="I14" t="n">
        <v>11.39</v>
      </c>
      <c r="K14" t="n">
        <v>1.5</v>
      </c>
      <c r="L14" t="n">
        <v>10.38</v>
      </c>
    </row>
    <row r="15">
      <c r="A15" t="n">
        <v>1</v>
      </c>
      <c r="B15" t="inlineStr">
        <is>
          <t>흡입(up)</t>
        </is>
      </c>
      <c r="C15" s="40" t="n">
        <v>3.9</v>
      </c>
      <c r="D15" s="41" t="n">
        <v>11.39</v>
      </c>
      <c r="E15" s="41">
        <f>D15*'2.지점별통계'!$B$3+'2.지점별통계'!$B$4</f>
        <v/>
      </c>
      <c r="F15" s="42">
        <f>(C15-E15)*1000</f>
        <v/>
      </c>
      <c r="H15" t="n">
        <v>3.6</v>
      </c>
      <c r="I15" t="n">
        <v>11.97</v>
      </c>
      <c r="K15" t="n">
        <v>1.2</v>
      </c>
      <c r="L15" t="n">
        <v>9.664999999999999</v>
      </c>
    </row>
    <row r="16">
      <c r="A16" t="n">
        <v>1</v>
      </c>
      <c r="B16" t="inlineStr">
        <is>
          <t>흡입(up)</t>
        </is>
      </c>
      <c r="C16" s="40" t="n">
        <v>4.2</v>
      </c>
      <c r="D16" s="41" t="n">
        <v>12.97</v>
      </c>
      <c r="E16" s="41">
        <f>D16*'2.지점별통계'!$B$3+'2.지점별통계'!$B$4</f>
        <v/>
      </c>
      <c r="F16" s="42">
        <f>(C16-E16)*1000</f>
        <v/>
      </c>
      <c r="H16" t="n">
        <v>3.9</v>
      </c>
      <c r="I16" t="n">
        <v>11.39</v>
      </c>
      <c r="K16" t="n">
        <v>0.9</v>
      </c>
      <c r="L16" t="n">
        <v>9.06</v>
      </c>
    </row>
    <row r="17">
      <c r="A17" t="n">
        <v>1</v>
      </c>
      <c r="B17" t="inlineStr">
        <is>
          <t>흡입(up)</t>
        </is>
      </c>
      <c r="C17" s="40" t="n">
        <v>4.5</v>
      </c>
      <c r="D17" s="41" t="n">
        <v>12.3</v>
      </c>
      <c r="E17" s="41">
        <f>D17*'2.지점별통계'!$B$3+'2.지점별통계'!$B$4</f>
        <v/>
      </c>
      <c r="F17" s="42">
        <f>(C17-E17)*1000</f>
        <v/>
      </c>
      <c r="H17" t="n">
        <v>4.2</v>
      </c>
      <c r="I17" t="n">
        <v>12.97</v>
      </c>
      <c r="K17" t="n">
        <v>0.6</v>
      </c>
      <c r="L17" t="n">
        <v>9.619999999999999</v>
      </c>
    </row>
    <row r="18">
      <c r="A18" t="n">
        <v>1</v>
      </c>
      <c r="B18" t="inlineStr">
        <is>
          <t>흡입(up)</t>
        </is>
      </c>
      <c r="C18" s="40" t="n">
        <v>4.8</v>
      </c>
      <c r="D18" s="41" t="n">
        <v>12.97</v>
      </c>
      <c r="E18" s="41">
        <f>D18*'2.지점별통계'!$B$3+'2.지점별통계'!$B$4</f>
        <v/>
      </c>
      <c r="F18" s="42">
        <f>(C18-E18)*1000</f>
        <v/>
      </c>
      <c r="H18" t="n">
        <v>4.5</v>
      </c>
      <c r="I18" t="n">
        <v>12.3</v>
      </c>
      <c r="K18" t="n">
        <v>0.3</v>
      </c>
      <c r="L18" t="n">
        <v>8.994999999999999</v>
      </c>
    </row>
    <row r="19">
      <c r="A19" t="n">
        <v>1</v>
      </c>
      <c r="B19" t="inlineStr">
        <is>
          <t>흡입(up)</t>
        </is>
      </c>
      <c r="C19" s="40" t="n">
        <v>5</v>
      </c>
      <c r="D19" s="41" t="n">
        <v>12.62</v>
      </c>
      <c r="E19" s="41">
        <f>D19*'2.지점별통계'!$B$3+'2.지점별통계'!$B$4</f>
        <v/>
      </c>
      <c r="F19" s="42">
        <f>(C19-E19)*1000</f>
        <v/>
      </c>
      <c r="H19" t="n">
        <v>4.8</v>
      </c>
      <c r="I19" t="n">
        <v>12.97</v>
      </c>
      <c r="K19" t="n">
        <v>0</v>
      </c>
      <c r="L19" t="n">
        <v>8.66</v>
      </c>
    </row>
    <row r="20">
      <c r="A20" t="n">
        <v>1</v>
      </c>
      <c r="B20" t="inlineStr">
        <is>
          <t>토출(down)</t>
        </is>
      </c>
      <c r="C20" s="40" t="n">
        <v>4.8</v>
      </c>
      <c r="D20" s="41" t="n">
        <v>12.97</v>
      </c>
      <c r="E20" s="41">
        <f>D20*'2.지점별통계'!$B$3+'2.지점별통계'!$B$4</f>
        <v/>
      </c>
      <c r="F20" s="42">
        <f>(C20-E20)*1000</f>
        <v/>
      </c>
      <c r="H20" t="n">
        <v>5</v>
      </c>
      <c r="I20" t="n">
        <v>12.62</v>
      </c>
      <c r="K20" t="n">
        <v>4.8</v>
      </c>
      <c r="L20" t="n">
        <v>12.97</v>
      </c>
    </row>
    <row r="21">
      <c r="A21" t="n">
        <v>1</v>
      </c>
      <c r="B21" t="inlineStr">
        <is>
          <t>토출(down)</t>
        </is>
      </c>
      <c r="C21" s="40" t="n">
        <v>4.5</v>
      </c>
      <c r="D21" s="41" t="n">
        <v>12.3</v>
      </c>
      <c r="E21" s="41">
        <f>D21*'2.지점별통계'!$B$3+'2.지점별통계'!$B$4</f>
        <v/>
      </c>
      <c r="F21" s="42">
        <f>(C21-E21)*1000</f>
        <v/>
      </c>
      <c r="H21" t="n">
        <v>0</v>
      </c>
      <c r="I21" t="n">
        <v>8.66</v>
      </c>
      <c r="K21" t="n">
        <v>4.5</v>
      </c>
      <c r="L21" t="n">
        <v>12.3</v>
      </c>
    </row>
    <row r="22">
      <c r="A22" t="n">
        <v>1</v>
      </c>
      <c r="B22" t="inlineStr">
        <is>
          <t>토출(down)</t>
        </is>
      </c>
      <c r="C22" s="40" t="n">
        <v>4.2</v>
      </c>
      <c r="D22" s="41" t="n">
        <v>12.97</v>
      </c>
      <c r="E22" s="41">
        <f>D22*'2.지점별통계'!$B$3+'2.지점별통계'!$B$4</f>
        <v/>
      </c>
      <c r="F22" s="42">
        <f>(C22-E22)*1000</f>
        <v/>
      </c>
      <c r="H22" t="n">
        <v>0.3</v>
      </c>
      <c r="I22" t="n">
        <v>8.994999999999999</v>
      </c>
      <c r="K22" t="n">
        <v>4.2</v>
      </c>
      <c r="L22" t="n">
        <v>12.97</v>
      </c>
    </row>
    <row r="23">
      <c r="A23" t="n">
        <v>1</v>
      </c>
      <c r="B23" t="inlineStr">
        <is>
          <t>토출(down)</t>
        </is>
      </c>
      <c r="C23" s="40" t="n">
        <v>3.9</v>
      </c>
      <c r="D23" s="41" t="n">
        <v>11.28</v>
      </c>
      <c r="E23" s="41">
        <f>D23*'2.지점별통계'!$B$3+'2.지점별통계'!$B$4</f>
        <v/>
      </c>
      <c r="F23" s="42">
        <f>(C23-E23)*1000</f>
        <v/>
      </c>
      <c r="H23" t="n">
        <v>0.6</v>
      </c>
      <c r="I23" t="n">
        <v>8.710000000000001</v>
      </c>
      <c r="K23" t="n">
        <v>3.9</v>
      </c>
      <c r="L23" t="n">
        <v>11.28</v>
      </c>
    </row>
    <row r="24">
      <c r="A24" t="n">
        <v>1</v>
      </c>
      <c r="B24" t="inlineStr">
        <is>
          <t>토출(down)</t>
        </is>
      </c>
      <c r="C24" s="40" t="n">
        <v>3.6</v>
      </c>
      <c r="D24" s="41" t="n">
        <v>11.97</v>
      </c>
      <c r="E24" s="41">
        <f>D24*'2.지점별통계'!$B$3+'2.지점별통계'!$B$4</f>
        <v/>
      </c>
      <c r="F24" s="42">
        <f>(C24-E24)*1000</f>
        <v/>
      </c>
      <c r="H24" t="n">
        <v>0.9</v>
      </c>
      <c r="I24" t="n">
        <v>9.380000000000001</v>
      </c>
      <c r="K24" t="n">
        <v>3.6</v>
      </c>
      <c r="L24" t="n">
        <v>11.96</v>
      </c>
    </row>
    <row r="25">
      <c r="A25" t="n">
        <v>1</v>
      </c>
      <c r="B25" t="inlineStr">
        <is>
          <t>토출(down)</t>
        </is>
      </c>
      <c r="C25" s="40" t="n">
        <v>3.3</v>
      </c>
      <c r="D25" s="41" t="n">
        <v>11.28</v>
      </c>
      <c r="E25" s="41">
        <f>D25*'2.지점별통계'!$B$3+'2.지점별통계'!$B$4</f>
        <v/>
      </c>
      <c r="F25" s="42">
        <f>(C25-E25)*1000</f>
        <v/>
      </c>
      <c r="H25" t="n">
        <v>1.2</v>
      </c>
      <c r="I25" t="n">
        <v>9.619999999999999</v>
      </c>
      <c r="K25" t="n">
        <v>3.3</v>
      </c>
      <c r="L25" t="n">
        <v>11.28</v>
      </c>
    </row>
    <row r="26">
      <c r="A26" t="n">
        <v>1</v>
      </c>
      <c r="B26" t="inlineStr">
        <is>
          <t>토출(down)</t>
        </is>
      </c>
      <c r="C26" s="40" t="n">
        <v>3</v>
      </c>
      <c r="D26" s="41" t="n">
        <v>11.96</v>
      </c>
      <c r="E26" s="41">
        <f>D26*'2.지점별통계'!$B$3+'2.지점별통계'!$B$4</f>
        <v/>
      </c>
      <c r="F26" s="42">
        <f>(C26-E26)*1000</f>
        <v/>
      </c>
      <c r="H26" t="n">
        <v>1.5</v>
      </c>
      <c r="I26" t="n">
        <v>10.385</v>
      </c>
      <c r="K26" t="n">
        <v>3</v>
      </c>
      <c r="L26" t="n">
        <v>11.95</v>
      </c>
    </row>
    <row r="27">
      <c r="A27" t="n">
        <v>1</v>
      </c>
      <c r="B27" t="inlineStr">
        <is>
          <t>토출(down)</t>
        </is>
      </c>
      <c r="C27" s="40" t="n">
        <v>2.7</v>
      </c>
      <c r="D27" s="41" t="n">
        <v>10</v>
      </c>
      <c r="E27" s="41">
        <f>D27*'2.지점별통계'!$B$3+'2.지점별통계'!$B$4</f>
        <v/>
      </c>
      <c r="F27" s="42">
        <f>(C27-E27)*1000</f>
        <v/>
      </c>
      <c r="H27" t="n">
        <v>1.8</v>
      </c>
      <c r="I27" t="n">
        <v>9.619999999999999</v>
      </c>
      <c r="K27" t="n">
        <v>2.7</v>
      </c>
      <c r="L27" t="n">
        <v>11.28</v>
      </c>
    </row>
    <row r="28">
      <c r="A28" t="n">
        <v>1</v>
      </c>
      <c r="B28" t="inlineStr">
        <is>
          <t>토출(down)</t>
        </is>
      </c>
      <c r="C28" s="40" t="n">
        <v>2.4</v>
      </c>
      <c r="D28" s="41" t="n">
        <v>11.06</v>
      </c>
      <c r="E28" s="41">
        <f>D28*'2.지점별통계'!$B$3+'2.지점별통계'!$B$4</f>
        <v/>
      </c>
      <c r="F28" s="42">
        <f>(C28-E28)*1000</f>
        <v/>
      </c>
      <c r="H28" t="n">
        <v>2.1</v>
      </c>
      <c r="I28" t="n">
        <v>10.29</v>
      </c>
      <c r="K28" t="n">
        <v>2.4</v>
      </c>
      <c r="L28" t="n">
        <v>10.96</v>
      </c>
    </row>
    <row r="29">
      <c r="A29" t="n">
        <v>1</v>
      </c>
      <c r="B29" t="inlineStr">
        <is>
          <t>토출(down)</t>
        </is>
      </c>
      <c r="C29" s="40" t="n">
        <v>2.1</v>
      </c>
      <c r="D29" s="41" t="n">
        <v>10.29</v>
      </c>
      <c r="E29" s="41">
        <f>D29*'2.지점별통계'!$B$3+'2.지점별통계'!$B$4</f>
        <v/>
      </c>
      <c r="F29" s="42">
        <f>(C29-E29)*1000</f>
        <v/>
      </c>
      <c r="H29" t="n">
        <v>2.4</v>
      </c>
      <c r="I29" t="n">
        <v>11.06</v>
      </c>
      <c r="K29" t="n">
        <v>2.1</v>
      </c>
      <c r="L29" t="n">
        <v>10.38</v>
      </c>
    </row>
    <row r="30">
      <c r="A30" t="n">
        <v>1</v>
      </c>
      <c r="B30" t="inlineStr">
        <is>
          <t>토출(down)</t>
        </is>
      </c>
      <c r="C30" s="40" t="n">
        <v>1.8</v>
      </c>
      <c r="D30" s="41" t="n">
        <v>9.67</v>
      </c>
      <c r="E30" s="41">
        <f>D30*'2.지점별통계'!$B$3+'2.지점별통계'!$B$4</f>
        <v/>
      </c>
      <c r="F30" s="42">
        <f>(C30-E30)*1000</f>
        <v/>
      </c>
      <c r="H30" t="n">
        <v>2.7</v>
      </c>
      <c r="I30" t="n">
        <v>10.665</v>
      </c>
      <c r="K30" t="n">
        <v>1.8</v>
      </c>
      <c r="L30" t="n">
        <v>9.6</v>
      </c>
    </row>
    <row r="31">
      <c r="A31" t="n">
        <v>1</v>
      </c>
      <c r="B31" t="inlineStr">
        <is>
          <t>토출(down)</t>
        </is>
      </c>
      <c r="C31" s="40" t="n">
        <v>1.5</v>
      </c>
      <c r="D31" s="41" t="n">
        <v>10.38</v>
      </c>
      <c r="E31" s="41">
        <f>D31*'2.지점별통계'!$B$3+'2.지점별통계'!$B$4</f>
        <v/>
      </c>
      <c r="F31" s="42">
        <f>(C31-E31)*1000</f>
        <v/>
      </c>
      <c r="H31" t="n">
        <v>3</v>
      </c>
      <c r="I31" t="n">
        <v>11</v>
      </c>
      <c r="K31" t="n">
        <v>1.5</v>
      </c>
      <c r="L31" t="n">
        <v>10.29</v>
      </c>
    </row>
    <row r="32">
      <c r="A32" t="n">
        <v>1</v>
      </c>
      <c r="B32" t="inlineStr">
        <is>
          <t>토출(down)</t>
        </is>
      </c>
      <c r="C32" s="40" t="n">
        <v>1.2</v>
      </c>
      <c r="D32" s="41" t="n">
        <v>9.664999999999999</v>
      </c>
      <c r="E32" s="41">
        <f>D32*'2.지점별통계'!$B$3+'2.지점별통계'!$B$4</f>
        <v/>
      </c>
      <c r="F32" s="42">
        <f>(C32-E32)*1000</f>
        <v/>
      </c>
      <c r="H32" t="n">
        <v>3.3</v>
      </c>
      <c r="I32" t="n">
        <v>11.39</v>
      </c>
      <c r="K32" t="n">
        <v>1.2</v>
      </c>
      <c r="L32" t="n">
        <v>9.664999999999999</v>
      </c>
    </row>
    <row r="33">
      <c r="A33" t="n">
        <v>1</v>
      </c>
      <c r="B33" t="inlineStr">
        <is>
          <t>토출(down)</t>
        </is>
      </c>
      <c r="C33" s="40" t="n">
        <v>0.9</v>
      </c>
      <c r="D33" s="41" t="n">
        <v>9.06</v>
      </c>
      <c r="E33" s="41">
        <f>D33*'2.지점별통계'!$B$3+'2.지점별통계'!$B$4</f>
        <v/>
      </c>
      <c r="F33" s="42">
        <f>(C33-E33)*1000</f>
        <v/>
      </c>
      <c r="H33" t="n">
        <v>3.6</v>
      </c>
      <c r="I33" t="n">
        <v>11.96</v>
      </c>
      <c r="K33" t="n">
        <v>0.9</v>
      </c>
      <c r="L33" t="n">
        <v>10.27</v>
      </c>
    </row>
    <row r="34">
      <c r="A34" t="n">
        <v>1</v>
      </c>
      <c r="B34" t="inlineStr">
        <is>
          <t>토출(down)</t>
        </is>
      </c>
      <c r="C34" s="40" t="n">
        <v>0.6</v>
      </c>
      <c r="D34" s="41" t="n">
        <v>9.619999999999999</v>
      </c>
      <c r="E34" s="41">
        <f>D34*'2.지점별통계'!$B$3+'2.지점별통계'!$B$4</f>
        <v/>
      </c>
      <c r="F34" s="42">
        <f>(C34-E34)*1000</f>
        <v/>
      </c>
      <c r="H34" t="n">
        <v>3.9</v>
      </c>
      <c r="I34" t="n">
        <v>11.345</v>
      </c>
      <c r="K34" t="n">
        <v>0.6</v>
      </c>
      <c r="L34" t="n">
        <v>9.6</v>
      </c>
    </row>
    <row r="35">
      <c r="A35" t="n">
        <v>1</v>
      </c>
      <c r="B35" t="inlineStr">
        <is>
          <t>토출(down)</t>
        </is>
      </c>
      <c r="C35" s="40" t="n">
        <v>0.3</v>
      </c>
      <c r="D35" s="41" t="n">
        <v>8.994999999999999</v>
      </c>
      <c r="E35" s="41">
        <f>D35*'2.지점별통계'!$B$3+'2.지점별통계'!$B$4</f>
        <v/>
      </c>
      <c r="F35" s="42">
        <f>(C35-E35)*1000</f>
        <v/>
      </c>
      <c r="H35" t="n">
        <v>4.2</v>
      </c>
      <c r="I35" t="n">
        <v>12.97</v>
      </c>
      <c r="K35" t="n">
        <v>0.3</v>
      </c>
      <c r="L35" t="n">
        <v>9.039999999999999</v>
      </c>
    </row>
    <row r="36">
      <c r="A36" t="n">
        <v>1</v>
      </c>
      <c r="B36" t="inlineStr">
        <is>
          <t>토출(down)</t>
        </is>
      </c>
      <c r="C36" s="40" t="n">
        <v>0</v>
      </c>
      <c r="D36" s="41" t="n">
        <v>8.66</v>
      </c>
      <c r="E36" s="41">
        <f>D36*'2.지점별통계'!$B$3+'2.지점별통계'!$B$4</f>
        <v/>
      </c>
      <c r="F36" s="42">
        <f>(C36-E36)*1000</f>
        <v/>
      </c>
      <c r="H36" t="n">
        <v>4.5</v>
      </c>
      <c r="I36" t="n">
        <v>12.3</v>
      </c>
      <c r="K36" t="n">
        <v>0</v>
      </c>
      <c r="L36" t="n">
        <v>8.66</v>
      </c>
    </row>
    <row r="37">
      <c r="A37" t="n">
        <v>2</v>
      </c>
      <c r="B37" t="inlineStr">
        <is>
          <t>흡입(up)</t>
        </is>
      </c>
      <c r="C37" s="40" t="n">
        <v>0</v>
      </c>
      <c r="D37" s="41" t="n">
        <v>8.66</v>
      </c>
      <c r="E37" s="41">
        <f>D37*'2.지점별통계'!$B$3+'2.지점별통계'!$B$4</f>
        <v/>
      </c>
      <c r="F37" s="42">
        <f>(C37-E37)*1000</f>
        <v/>
      </c>
      <c r="H37" t="n">
        <v>4.8</v>
      </c>
      <c r="I37" t="n">
        <v>12.97</v>
      </c>
      <c r="K37" t="n">
        <v>4.8</v>
      </c>
      <c r="L37" t="n">
        <v>12.97</v>
      </c>
    </row>
    <row r="38">
      <c r="A38" t="n">
        <v>2</v>
      </c>
      <c r="B38" t="inlineStr">
        <is>
          <t>흡입(up)</t>
        </is>
      </c>
      <c r="C38" s="40" t="n">
        <v>0.3</v>
      </c>
      <c r="D38" s="41" t="n">
        <v>8.994999999999999</v>
      </c>
      <c r="E38" s="41">
        <f>D38*'2.지점별통계'!$B$3+'2.지점별통계'!$B$4</f>
        <v/>
      </c>
      <c r="F38" s="42">
        <f>(C38-E38)*1000</f>
        <v/>
      </c>
      <c r="H38" t="n">
        <v>5</v>
      </c>
      <c r="I38" t="n">
        <v>12.64</v>
      </c>
      <c r="K38" t="n">
        <v>4.5</v>
      </c>
      <c r="L38" t="n">
        <v>12.3</v>
      </c>
    </row>
    <row r="39">
      <c r="A39" t="n">
        <v>2</v>
      </c>
      <c r="B39" t="inlineStr">
        <is>
          <t>흡입(up)</t>
        </is>
      </c>
      <c r="C39" s="40" t="n">
        <v>0.6</v>
      </c>
      <c r="D39" s="41" t="n">
        <v>8.710000000000001</v>
      </c>
      <c r="E39" s="41">
        <f>D39*'2.지점별통계'!$B$3+'2.지점별통계'!$B$4</f>
        <v/>
      </c>
      <c r="F39" s="42">
        <f>(C39-E39)*1000</f>
        <v/>
      </c>
      <c r="H39" t="n">
        <v>0</v>
      </c>
      <c r="I39" t="n">
        <v>8.66</v>
      </c>
      <c r="K39" t="n">
        <v>4.2</v>
      </c>
      <c r="L39" t="n">
        <v>12.97</v>
      </c>
    </row>
    <row r="40">
      <c r="A40" t="n">
        <v>2</v>
      </c>
      <c r="B40" t="inlineStr">
        <is>
          <t>흡입(up)</t>
        </is>
      </c>
      <c r="C40" s="40" t="n">
        <v>0.9</v>
      </c>
      <c r="D40" s="41" t="n">
        <v>9.380000000000001</v>
      </c>
      <c r="E40" s="41">
        <f>D40*'2.지점별통계'!$B$3+'2.지점별통계'!$B$4</f>
        <v/>
      </c>
      <c r="F40" s="42">
        <f>(C40-E40)*1000</f>
        <v/>
      </c>
      <c r="H40" t="n">
        <v>0.3</v>
      </c>
      <c r="I40" t="n">
        <v>8.994999999999999</v>
      </c>
      <c r="K40" t="n">
        <v>3.9</v>
      </c>
      <c r="L40" t="n">
        <v>11.835</v>
      </c>
    </row>
    <row r="41">
      <c r="A41" t="n">
        <v>2</v>
      </c>
      <c r="B41" t="inlineStr">
        <is>
          <t>흡입(up)</t>
        </is>
      </c>
      <c r="C41" s="40" t="n">
        <v>1.2</v>
      </c>
      <c r="D41" s="41" t="n">
        <v>9.619999999999999</v>
      </c>
      <c r="E41" s="41">
        <f>D41*'2.지점별통계'!$B$3+'2.지점별통계'!$B$4</f>
        <v/>
      </c>
      <c r="F41" s="42">
        <f>(C41-E41)*1000</f>
        <v/>
      </c>
      <c r="H41" t="n">
        <v>0.6</v>
      </c>
      <c r="I41" t="n">
        <v>9.635</v>
      </c>
      <c r="K41" t="n">
        <v>3.6</v>
      </c>
      <c r="L41" t="n">
        <v>11.97</v>
      </c>
    </row>
    <row r="42">
      <c r="A42" t="n">
        <v>2</v>
      </c>
      <c r="B42" t="inlineStr">
        <is>
          <t>흡입(up)</t>
        </is>
      </c>
      <c r="C42" s="40" t="n">
        <v>1.5</v>
      </c>
      <c r="D42" s="41" t="n">
        <v>10.385</v>
      </c>
      <c r="E42" s="41">
        <f>D42*'2.지점별통계'!$B$3+'2.지점별통계'!$B$4</f>
        <v/>
      </c>
      <c r="F42" s="42">
        <f>(C42-E42)*1000</f>
        <v/>
      </c>
      <c r="H42" t="n">
        <v>0.9</v>
      </c>
      <c r="I42" t="n">
        <v>9.279999999999999</v>
      </c>
      <c r="K42" t="n">
        <v>3.3</v>
      </c>
      <c r="L42" t="n">
        <v>11.29</v>
      </c>
    </row>
    <row r="43">
      <c r="A43" t="n">
        <v>2</v>
      </c>
      <c r="B43" t="inlineStr">
        <is>
          <t>흡입(up)</t>
        </is>
      </c>
      <c r="C43" s="40" t="n">
        <v>1.8</v>
      </c>
      <c r="D43" s="41" t="n">
        <v>9.619999999999999</v>
      </c>
      <c r="E43" s="41">
        <f>D43*'2.지점별통계'!$B$3+'2.지점별통계'!$B$4</f>
        <v/>
      </c>
      <c r="F43" s="42">
        <f>(C43-E43)*1000</f>
        <v/>
      </c>
      <c r="H43" t="n">
        <v>1.2</v>
      </c>
      <c r="I43" t="n">
        <v>9.619999999999999</v>
      </c>
      <c r="K43" t="n">
        <v>3</v>
      </c>
      <c r="L43" t="n">
        <v>11.95</v>
      </c>
    </row>
    <row r="44">
      <c r="A44" t="n">
        <v>2</v>
      </c>
      <c r="B44" t="inlineStr">
        <is>
          <t>흡입(up)</t>
        </is>
      </c>
      <c r="C44" s="40" t="n">
        <v>2.1</v>
      </c>
      <c r="D44" s="41" t="n">
        <v>10.29</v>
      </c>
      <c r="E44" s="41">
        <f>D44*'2.지점별통계'!$B$3+'2.지점별통계'!$B$4</f>
        <v/>
      </c>
      <c r="F44" s="42">
        <f>(C44-E44)*1000</f>
        <v/>
      </c>
      <c r="H44" t="n">
        <v>1.5</v>
      </c>
      <c r="I44" t="n">
        <v>10.29</v>
      </c>
      <c r="K44" t="n">
        <v>2.7</v>
      </c>
      <c r="L44" t="n">
        <v>11.3</v>
      </c>
    </row>
    <row r="45">
      <c r="A45" t="n">
        <v>2</v>
      </c>
      <c r="B45" t="inlineStr">
        <is>
          <t>흡입(up)</t>
        </is>
      </c>
      <c r="C45" s="40" t="n">
        <v>2.4</v>
      </c>
      <c r="D45" s="41" t="n">
        <v>11.06</v>
      </c>
      <c r="E45" s="41">
        <f>D45*'2.지점별통계'!$B$3+'2.지점별통계'!$B$4</f>
        <v/>
      </c>
      <c r="F45" s="42">
        <f>(C45-E45)*1000</f>
        <v/>
      </c>
      <c r="H45" t="n">
        <v>1.8</v>
      </c>
      <c r="I45" t="n">
        <v>9.619999999999999</v>
      </c>
      <c r="K45" t="n">
        <v>2.4</v>
      </c>
      <c r="L45" t="n">
        <v>10.96</v>
      </c>
    </row>
    <row r="46">
      <c r="A46" t="n">
        <v>2</v>
      </c>
      <c r="B46" t="inlineStr">
        <is>
          <t>흡입(up)</t>
        </is>
      </c>
      <c r="C46" s="40" t="n">
        <v>2.7</v>
      </c>
      <c r="D46" s="41" t="n">
        <v>10.665</v>
      </c>
      <c r="E46" s="41">
        <f>D46*'2.지점별통계'!$B$3+'2.지점별통계'!$B$4</f>
        <v/>
      </c>
      <c r="F46" s="42">
        <f>(C46-E46)*1000</f>
        <v/>
      </c>
      <c r="H46" t="n">
        <v>2.1</v>
      </c>
      <c r="I46" t="n">
        <v>10.335</v>
      </c>
      <c r="K46" t="n">
        <v>2.1</v>
      </c>
      <c r="L46" t="n">
        <v>10.29</v>
      </c>
    </row>
    <row r="47">
      <c r="A47" t="n">
        <v>2</v>
      </c>
      <c r="B47" t="inlineStr">
        <is>
          <t>흡입(up)</t>
        </is>
      </c>
      <c r="C47" s="40" t="n">
        <v>3</v>
      </c>
      <c r="D47" s="41" t="n">
        <v>11</v>
      </c>
      <c r="E47" s="41">
        <f>D47*'2.지점별통계'!$B$3+'2.지점별통계'!$B$4</f>
        <v/>
      </c>
      <c r="F47" s="42">
        <f>(C47-E47)*1000</f>
        <v/>
      </c>
      <c r="H47" t="n">
        <v>2.4</v>
      </c>
      <c r="I47" t="n">
        <v>10.96</v>
      </c>
      <c r="K47" t="n">
        <v>1.8</v>
      </c>
      <c r="L47" t="n">
        <v>9.710000000000001</v>
      </c>
    </row>
    <row r="48">
      <c r="A48" t="n">
        <v>2</v>
      </c>
      <c r="B48" t="inlineStr">
        <is>
          <t>흡입(up)</t>
        </is>
      </c>
      <c r="C48" s="40" t="n">
        <v>3.3</v>
      </c>
      <c r="D48" s="41" t="n">
        <v>11.39</v>
      </c>
      <c r="E48" s="41">
        <f>D48*'2.지점별통계'!$B$3+'2.지점별통계'!$B$4</f>
        <v/>
      </c>
      <c r="F48" s="42">
        <f>(C48-E48)*1000</f>
        <v/>
      </c>
      <c r="H48" t="n">
        <v>2.7</v>
      </c>
      <c r="I48" t="n">
        <v>11.28</v>
      </c>
      <c r="K48" t="n">
        <v>1.5</v>
      </c>
      <c r="L48" t="n">
        <v>10.34</v>
      </c>
    </row>
    <row r="49">
      <c r="A49" t="n">
        <v>2</v>
      </c>
      <c r="B49" t="inlineStr">
        <is>
          <t>흡입(up)</t>
        </is>
      </c>
      <c r="C49" s="40" t="n">
        <v>3.6</v>
      </c>
      <c r="D49" s="41" t="n">
        <v>11.96</v>
      </c>
      <c r="E49" s="41">
        <f>D49*'2.지점별통계'!$B$3+'2.지점별통계'!$B$4</f>
        <v/>
      </c>
      <c r="F49" s="42">
        <f>(C49-E49)*1000</f>
        <v/>
      </c>
      <c r="H49" t="n">
        <v>3</v>
      </c>
      <c r="I49" t="n">
        <v>11.95</v>
      </c>
      <c r="K49" t="n">
        <v>1.2</v>
      </c>
      <c r="L49" t="n">
        <v>9.619999999999999</v>
      </c>
    </row>
    <row r="50">
      <c r="A50" t="n">
        <v>2</v>
      </c>
      <c r="B50" t="inlineStr">
        <is>
          <t>흡입(up)</t>
        </is>
      </c>
      <c r="C50" s="40" t="n">
        <v>3.9</v>
      </c>
      <c r="D50" s="41" t="n">
        <v>11.345</v>
      </c>
      <c r="E50" s="41">
        <f>D50*'2.지점별통계'!$B$3+'2.지점별통계'!$B$4</f>
        <v/>
      </c>
      <c r="F50" s="42">
        <f>(C50-E50)*1000</f>
        <v/>
      </c>
      <c r="H50" t="n">
        <v>3.3</v>
      </c>
      <c r="I50" t="n">
        <v>11.29</v>
      </c>
      <c r="K50" t="n">
        <v>0.9</v>
      </c>
      <c r="L50" t="n">
        <v>9.33</v>
      </c>
    </row>
    <row r="51">
      <c r="A51" t="n">
        <v>2</v>
      </c>
      <c r="B51" t="inlineStr">
        <is>
          <t>흡입(up)</t>
        </is>
      </c>
      <c r="C51" s="40" t="n">
        <v>4.2</v>
      </c>
      <c r="D51" s="41" t="n">
        <v>12.97</v>
      </c>
      <c r="E51" s="41">
        <f>D51*'2.지점별통계'!$B$3+'2.지점별통계'!$B$4</f>
        <v/>
      </c>
      <c r="F51" s="42">
        <f>(C51-E51)*1000</f>
        <v/>
      </c>
      <c r="H51" t="n">
        <v>3.6</v>
      </c>
      <c r="I51" t="n">
        <v>11.96</v>
      </c>
      <c r="K51" t="n">
        <v>0.6</v>
      </c>
      <c r="L51" t="n">
        <v>9.619999999999999</v>
      </c>
    </row>
    <row r="52">
      <c r="A52" t="n">
        <v>2</v>
      </c>
      <c r="B52" t="inlineStr">
        <is>
          <t>흡입(up)</t>
        </is>
      </c>
      <c r="C52" s="40" t="n">
        <v>4.5</v>
      </c>
      <c r="D52" s="41" t="n">
        <v>12.3</v>
      </c>
      <c r="E52" s="41">
        <f>D52*'2.지점별통계'!$B$3+'2.지점별통계'!$B$4</f>
        <v/>
      </c>
      <c r="F52" s="42">
        <f>(C52-E52)*1000</f>
        <v/>
      </c>
      <c r="H52" t="n">
        <v>3.9</v>
      </c>
      <c r="I52" t="n">
        <v>11.28</v>
      </c>
      <c r="K52" t="n">
        <v>0.3</v>
      </c>
      <c r="L52" t="n">
        <v>9.039999999999999</v>
      </c>
    </row>
    <row r="53">
      <c r="A53" t="n">
        <v>2</v>
      </c>
      <c r="B53" t="inlineStr">
        <is>
          <t>흡입(up)</t>
        </is>
      </c>
      <c r="C53" s="40" t="n">
        <v>4.8</v>
      </c>
      <c r="D53" s="41" t="n">
        <v>12.97</v>
      </c>
      <c r="E53" s="41">
        <f>D53*'2.지점별통계'!$B$3+'2.지점별통계'!$B$4</f>
        <v/>
      </c>
      <c r="F53" s="42">
        <f>(C53-E53)*1000</f>
        <v/>
      </c>
      <c r="H53" t="n">
        <v>4.2</v>
      </c>
      <c r="I53" t="n">
        <v>13.31</v>
      </c>
      <c r="K53" t="n">
        <v>0</v>
      </c>
      <c r="L53" t="n">
        <v>8.66</v>
      </c>
    </row>
    <row r="54">
      <c r="A54" t="n">
        <v>2</v>
      </c>
      <c r="B54" t="inlineStr">
        <is>
          <t>흡입(up)</t>
        </is>
      </c>
      <c r="C54" s="40" t="n">
        <v>5</v>
      </c>
      <c r="D54" s="41" t="n">
        <v>12.64</v>
      </c>
      <c r="E54" s="41">
        <f>D54*'2.지점별통계'!$B$3+'2.지점별통계'!$B$4</f>
        <v/>
      </c>
      <c r="F54" s="42">
        <f>(C54-E54)*1000</f>
        <v/>
      </c>
      <c r="H54" t="n">
        <v>4.5</v>
      </c>
      <c r="I54" t="n">
        <v>12.3</v>
      </c>
    </row>
    <row r="55">
      <c r="A55" t="n">
        <v>2</v>
      </c>
      <c r="B55" t="inlineStr">
        <is>
          <t>토출(down)</t>
        </is>
      </c>
      <c r="C55" s="40" t="n">
        <v>4.8</v>
      </c>
      <c r="D55" s="41" t="n">
        <v>12.97</v>
      </c>
      <c r="E55" s="41">
        <f>D55*'2.지점별통계'!$B$3+'2.지점별통계'!$B$4</f>
        <v/>
      </c>
      <c r="F55" s="42">
        <f>(C55-E55)*1000</f>
        <v/>
      </c>
      <c r="H55" t="n">
        <v>4.8</v>
      </c>
      <c r="I55" t="n">
        <v>12.97</v>
      </c>
    </row>
    <row r="56">
      <c r="A56" t="n">
        <v>2</v>
      </c>
      <c r="B56" t="inlineStr">
        <is>
          <t>토출(down)</t>
        </is>
      </c>
      <c r="C56" s="40" t="n">
        <v>4.5</v>
      </c>
      <c r="D56" s="41" t="n">
        <v>12.3</v>
      </c>
      <c r="E56" s="41">
        <f>D56*'2.지점별통계'!$B$3+'2.지점별통계'!$B$4</f>
        <v/>
      </c>
      <c r="F56" s="42">
        <f>(C56-E56)*1000</f>
        <v/>
      </c>
      <c r="H56" t="n">
        <v>5</v>
      </c>
      <c r="I56" t="n">
        <v>12.62</v>
      </c>
    </row>
    <row r="57">
      <c r="A57" t="n">
        <v>2</v>
      </c>
      <c r="B57" t="inlineStr">
        <is>
          <t>토출(down)</t>
        </is>
      </c>
      <c r="C57" s="40" t="n">
        <v>4.2</v>
      </c>
      <c r="D57" s="41" t="n">
        <v>12.97</v>
      </c>
      <c r="E57" s="41">
        <f>D57*'2.지점별통계'!$B$3+'2.지점별통계'!$B$4</f>
        <v/>
      </c>
      <c r="F57" s="42">
        <f>(C57-E57)*1000</f>
        <v/>
      </c>
    </row>
    <row r="58">
      <c r="A58" t="n">
        <v>2</v>
      </c>
      <c r="B58" t="inlineStr">
        <is>
          <t>토출(down)</t>
        </is>
      </c>
      <c r="C58" s="40" t="n">
        <v>3.9</v>
      </c>
      <c r="D58" s="41" t="n">
        <v>11.28</v>
      </c>
      <c r="E58" s="41">
        <f>D58*'2.지점별통계'!$B$3+'2.지점별통계'!$B$4</f>
        <v/>
      </c>
      <c r="F58" s="42">
        <f>(C58-E58)*1000</f>
        <v/>
      </c>
    </row>
    <row r="59">
      <c r="A59" t="n">
        <v>2</v>
      </c>
      <c r="B59" t="inlineStr">
        <is>
          <t>토출(down)</t>
        </is>
      </c>
      <c r="C59" s="40" t="n">
        <v>3.6</v>
      </c>
      <c r="D59" s="41" t="n">
        <v>11.96</v>
      </c>
      <c r="E59" s="41">
        <f>D59*'2.지점별통계'!$B$3+'2.지점별통계'!$B$4</f>
        <v/>
      </c>
      <c r="F59" s="42">
        <f>(C59-E59)*1000</f>
        <v/>
      </c>
    </row>
    <row r="60">
      <c r="A60" t="n">
        <v>2</v>
      </c>
      <c r="B60" t="inlineStr">
        <is>
          <t>토출(down)</t>
        </is>
      </c>
      <c r="C60" s="40" t="n">
        <v>3.3</v>
      </c>
      <c r="D60" s="41" t="n">
        <v>11.28</v>
      </c>
      <c r="E60" s="41">
        <f>D60*'2.지점별통계'!$B$3+'2.지점별통계'!$B$4</f>
        <v/>
      </c>
      <c r="F60" s="42">
        <f>(C60-E60)*1000</f>
        <v/>
      </c>
    </row>
    <row r="61">
      <c r="A61" t="n">
        <v>2</v>
      </c>
      <c r="B61" t="inlineStr">
        <is>
          <t>토출(down)</t>
        </is>
      </c>
      <c r="C61" s="40" t="n">
        <v>3</v>
      </c>
      <c r="D61" s="41" t="n">
        <v>11.95</v>
      </c>
      <c r="E61" s="41">
        <f>D61*'2.지점별통계'!$B$3+'2.지점별통계'!$B$4</f>
        <v/>
      </c>
      <c r="F61" s="42">
        <f>(C61-E61)*1000</f>
        <v/>
      </c>
    </row>
    <row r="62">
      <c r="A62" t="n">
        <v>2</v>
      </c>
      <c r="B62" t="inlineStr">
        <is>
          <t>토출(down)</t>
        </is>
      </c>
      <c r="C62" s="40" t="n">
        <v>2.7</v>
      </c>
      <c r="D62" s="41" t="n">
        <v>11.28</v>
      </c>
      <c r="E62" s="41">
        <f>D62*'2.지점별통계'!$B$3+'2.지점별통계'!$B$4</f>
        <v/>
      </c>
      <c r="F62" s="42">
        <f>(C62-E62)*1000</f>
        <v/>
      </c>
    </row>
    <row r="63">
      <c r="A63" t="n">
        <v>2</v>
      </c>
      <c r="B63" t="inlineStr">
        <is>
          <t>토출(down)</t>
        </is>
      </c>
      <c r="C63" s="40" t="n">
        <v>2.4</v>
      </c>
      <c r="D63" s="41" t="n">
        <v>10.96</v>
      </c>
      <c r="E63" s="41">
        <f>D63*'2.지점별통계'!$B$3+'2.지점별통계'!$B$4</f>
        <v/>
      </c>
      <c r="F63" s="42">
        <f>(C63-E63)*1000</f>
        <v/>
      </c>
    </row>
    <row r="64">
      <c r="A64" t="n">
        <v>2</v>
      </c>
      <c r="B64" t="inlineStr">
        <is>
          <t>토출(down)</t>
        </is>
      </c>
      <c r="C64" s="40" t="n">
        <v>2.1</v>
      </c>
      <c r="D64" s="41" t="n">
        <v>10.38</v>
      </c>
      <c r="E64" s="41">
        <f>D64*'2.지점별통계'!$B$3+'2.지점별통계'!$B$4</f>
        <v/>
      </c>
      <c r="F64" s="42">
        <f>(C64-E64)*1000</f>
        <v/>
      </c>
    </row>
    <row r="65">
      <c r="A65" t="n">
        <v>2</v>
      </c>
      <c r="B65" t="inlineStr">
        <is>
          <t>토출(down)</t>
        </is>
      </c>
      <c r="C65" s="40" t="n">
        <v>1.8</v>
      </c>
      <c r="D65" s="41" t="n">
        <v>9.6</v>
      </c>
      <c r="E65" s="41">
        <f>D65*'2.지점별통계'!$B$3+'2.지점별통계'!$B$4</f>
        <v/>
      </c>
      <c r="F65" s="42">
        <f>(C65-E65)*1000</f>
        <v/>
      </c>
    </row>
    <row r="66">
      <c r="A66" t="n">
        <v>2</v>
      </c>
      <c r="B66" t="inlineStr">
        <is>
          <t>토출(down)</t>
        </is>
      </c>
      <c r="C66" s="40" t="n">
        <v>1.5</v>
      </c>
      <c r="D66" s="41" t="n">
        <v>10.29</v>
      </c>
      <c r="E66" s="41">
        <f>D66*'2.지점별통계'!$B$3+'2.지점별통계'!$B$4</f>
        <v/>
      </c>
      <c r="F66" s="42">
        <f>(C66-E66)*1000</f>
        <v/>
      </c>
    </row>
    <row r="67">
      <c r="A67" t="n">
        <v>2</v>
      </c>
      <c r="B67" t="inlineStr">
        <is>
          <t>토출(down)</t>
        </is>
      </c>
      <c r="C67" s="40" t="n">
        <v>1.2</v>
      </c>
      <c r="D67" s="41" t="n">
        <v>9.664999999999999</v>
      </c>
      <c r="E67" s="41">
        <f>D67*'2.지점별통계'!$B$3+'2.지점별통계'!$B$4</f>
        <v/>
      </c>
      <c r="F67" s="42">
        <f>(C67-E67)*1000</f>
        <v/>
      </c>
    </row>
    <row r="68">
      <c r="A68" t="n">
        <v>2</v>
      </c>
      <c r="B68" t="inlineStr">
        <is>
          <t>토출(down)</t>
        </is>
      </c>
      <c r="C68" s="40" t="n">
        <v>0.9</v>
      </c>
      <c r="D68" s="41" t="n">
        <v>10.27</v>
      </c>
      <c r="E68" s="41">
        <f>D68*'2.지점별통계'!$B$3+'2.지점별통계'!$B$4</f>
        <v/>
      </c>
      <c r="F68" s="42">
        <f>(C68-E68)*1000</f>
        <v/>
      </c>
    </row>
    <row r="69">
      <c r="A69" t="n">
        <v>2</v>
      </c>
      <c r="B69" t="inlineStr">
        <is>
          <t>토출(down)</t>
        </is>
      </c>
      <c r="C69" s="40" t="n">
        <v>0.6</v>
      </c>
      <c r="D69" s="41" t="n">
        <v>9.6</v>
      </c>
      <c r="E69" s="41">
        <f>D69*'2.지점별통계'!$B$3+'2.지점별통계'!$B$4</f>
        <v/>
      </c>
      <c r="F69" s="42">
        <f>(C69-E69)*1000</f>
        <v/>
      </c>
    </row>
    <row r="70">
      <c r="A70" t="n">
        <v>2</v>
      </c>
      <c r="B70" t="inlineStr">
        <is>
          <t>토출(down)</t>
        </is>
      </c>
      <c r="C70" s="40" t="n">
        <v>0.3</v>
      </c>
      <c r="D70" s="41" t="n">
        <v>9.039999999999999</v>
      </c>
      <c r="E70" s="41">
        <f>D70*'2.지점별통계'!$B$3+'2.지점별통계'!$B$4</f>
        <v/>
      </c>
      <c r="F70" s="42">
        <f>(C70-E70)*1000</f>
        <v/>
      </c>
    </row>
    <row r="71">
      <c r="A71" t="n">
        <v>2</v>
      </c>
      <c r="B71" t="inlineStr">
        <is>
          <t>토출(down)</t>
        </is>
      </c>
      <c r="C71" s="40" t="n">
        <v>0</v>
      </c>
      <c r="D71" s="41" t="n">
        <v>8.66</v>
      </c>
      <c r="E71" s="41">
        <f>D71*'2.지점별통계'!$B$3+'2.지점별통계'!$B$4</f>
        <v/>
      </c>
      <c r="F71" s="42">
        <f>(C71-E71)*1000</f>
        <v/>
      </c>
    </row>
    <row r="72">
      <c r="A72" t="n">
        <v>3</v>
      </c>
      <c r="B72" t="inlineStr">
        <is>
          <t>흡입(up)</t>
        </is>
      </c>
      <c r="C72" s="40" t="n">
        <v>0</v>
      </c>
      <c r="D72" s="41" t="n">
        <v>8.66</v>
      </c>
      <c r="E72" s="41">
        <f>D72*'2.지점별통계'!$B$3+'2.지점별통계'!$B$4</f>
        <v/>
      </c>
      <c r="F72" s="42">
        <f>(C72-E72)*1000</f>
        <v/>
      </c>
    </row>
    <row r="73">
      <c r="A73" t="n">
        <v>3</v>
      </c>
      <c r="B73" t="inlineStr">
        <is>
          <t>흡입(up)</t>
        </is>
      </c>
      <c r="C73" s="40" t="n">
        <v>0.3</v>
      </c>
      <c r="D73" s="41" t="n">
        <v>8.994999999999999</v>
      </c>
      <c r="E73" s="41">
        <f>D73*'2.지점별통계'!$B$3+'2.지점별통계'!$B$4</f>
        <v/>
      </c>
      <c r="F73" s="42">
        <f>(C73-E73)*1000</f>
        <v/>
      </c>
    </row>
    <row r="74">
      <c r="A74" t="n">
        <v>3</v>
      </c>
      <c r="B74" t="inlineStr">
        <is>
          <t>흡입(up)</t>
        </is>
      </c>
      <c r="C74" s="40" t="n">
        <v>0.6</v>
      </c>
      <c r="D74" s="41" t="n">
        <v>9.635</v>
      </c>
      <c r="E74" s="41">
        <f>D74*'2.지점별통계'!$B$3+'2.지점별통계'!$B$4</f>
        <v/>
      </c>
      <c r="F74" s="42">
        <f>(C74-E74)*1000</f>
        <v/>
      </c>
    </row>
    <row r="75">
      <c r="A75" t="n">
        <v>3</v>
      </c>
      <c r="B75" t="inlineStr">
        <is>
          <t>흡입(up)</t>
        </is>
      </c>
      <c r="C75" s="40" t="n">
        <v>0.9</v>
      </c>
      <c r="D75" s="41" t="n">
        <v>9.279999999999999</v>
      </c>
      <c r="E75" s="41">
        <f>D75*'2.지점별통계'!$B$3+'2.지점별통계'!$B$4</f>
        <v/>
      </c>
      <c r="F75" s="42">
        <f>(C75-E75)*1000</f>
        <v/>
      </c>
    </row>
    <row r="76">
      <c r="A76" t="n">
        <v>3</v>
      </c>
      <c r="B76" t="inlineStr">
        <is>
          <t>흡입(up)</t>
        </is>
      </c>
      <c r="C76" s="40" t="n">
        <v>1.2</v>
      </c>
      <c r="D76" s="41" t="n">
        <v>9.619999999999999</v>
      </c>
      <c r="E76" s="41">
        <f>D76*'2.지점별통계'!$B$3+'2.지점별통계'!$B$4</f>
        <v/>
      </c>
      <c r="F76" s="42">
        <f>(C76-E76)*1000</f>
        <v/>
      </c>
    </row>
    <row r="77">
      <c r="A77" t="n">
        <v>3</v>
      </c>
      <c r="B77" t="inlineStr">
        <is>
          <t>흡입(up)</t>
        </is>
      </c>
      <c r="C77" s="40" t="n">
        <v>1.5</v>
      </c>
      <c r="D77" s="41" t="n">
        <v>10.29</v>
      </c>
      <c r="E77" s="41">
        <f>D77*'2.지점별통계'!$B$3+'2.지점별통계'!$B$4</f>
        <v/>
      </c>
      <c r="F77" s="42">
        <f>(C77-E77)*1000</f>
        <v/>
      </c>
    </row>
    <row r="78">
      <c r="A78" t="n">
        <v>3</v>
      </c>
      <c r="B78" t="inlineStr">
        <is>
          <t>흡입(up)</t>
        </is>
      </c>
      <c r="C78" s="40" t="n">
        <v>1.8</v>
      </c>
      <c r="D78" s="41" t="n">
        <v>9.619999999999999</v>
      </c>
      <c r="E78" s="41">
        <f>D78*'2.지점별통계'!$B$3+'2.지점별통계'!$B$4</f>
        <v/>
      </c>
      <c r="F78" s="42">
        <f>(C78-E78)*1000</f>
        <v/>
      </c>
    </row>
    <row r="79">
      <c r="A79" t="n">
        <v>3</v>
      </c>
      <c r="B79" t="inlineStr">
        <is>
          <t>흡입(up)</t>
        </is>
      </c>
      <c r="C79" s="40" t="n">
        <v>2.1</v>
      </c>
      <c r="D79" s="41" t="n">
        <v>10.335</v>
      </c>
      <c r="E79" s="41">
        <f>D79*'2.지점별통계'!$B$3+'2.지점별통계'!$B$4</f>
        <v/>
      </c>
      <c r="F79" s="42">
        <f>(C79-E79)*1000</f>
        <v/>
      </c>
    </row>
    <row r="80">
      <c r="A80" t="n">
        <v>3</v>
      </c>
      <c r="B80" t="inlineStr">
        <is>
          <t>흡입(up)</t>
        </is>
      </c>
      <c r="C80" s="40" t="n">
        <v>2.4</v>
      </c>
      <c r="D80" s="41" t="n">
        <v>10.96</v>
      </c>
      <c r="E80" s="41">
        <f>D80*'2.지점별통계'!$B$3+'2.지점별통계'!$B$4</f>
        <v/>
      </c>
      <c r="F80" s="42">
        <f>(C80-E80)*1000</f>
        <v/>
      </c>
    </row>
    <row r="81">
      <c r="A81" t="n">
        <v>3</v>
      </c>
      <c r="B81" t="inlineStr">
        <is>
          <t>흡입(up)</t>
        </is>
      </c>
      <c r="C81" s="40" t="n">
        <v>2.7</v>
      </c>
      <c r="D81" s="41" t="n">
        <v>11.28</v>
      </c>
      <c r="E81" s="41">
        <f>D81*'2.지점별통계'!$B$3+'2.지점별통계'!$B$4</f>
        <v/>
      </c>
      <c r="F81" s="42">
        <f>(C81-E81)*1000</f>
        <v/>
      </c>
    </row>
    <row r="82">
      <c r="A82" t="n">
        <v>3</v>
      </c>
      <c r="B82" t="inlineStr">
        <is>
          <t>흡입(up)</t>
        </is>
      </c>
      <c r="C82" s="40" t="n">
        <v>3</v>
      </c>
      <c r="D82" s="41" t="n">
        <v>11.95</v>
      </c>
      <c r="E82" s="41">
        <f>D82*'2.지점별통계'!$B$3+'2.지점별통계'!$B$4</f>
        <v/>
      </c>
      <c r="F82" s="42">
        <f>(C82-E82)*1000</f>
        <v/>
      </c>
    </row>
    <row r="83">
      <c r="A83" t="n">
        <v>3</v>
      </c>
      <c r="B83" t="inlineStr">
        <is>
          <t>흡입(up)</t>
        </is>
      </c>
      <c r="C83" s="40" t="n">
        <v>3.3</v>
      </c>
      <c r="D83" s="41" t="n">
        <v>11.29</v>
      </c>
      <c r="E83" s="41">
        <f>D83*'2.지점별통계'!$B$3+'2.지점별통계'!$B$4</f>
        <v/>
      </c>
      <c r="F83" s="42">
        <f>(C83-E83)*1000</f>
        <v/>
      </c>
    </row>
    <row r="84">
      <c r="A84" t="n">
        <v>3</v>
      </c>
      <c r="B84" t="inlineStr">
        <is>
          <t>흡입(up)</t>
        </is>
      </c>
      <c r="C84" s="40" t="n">
        <v>3.6</v>
      </c>
      <c r="D84" s="41" t="n">
        <v>11.96</v>
      </c>
      <c r="E84" s="41">
        <f>D84*'2.지점별통계'!$B$3+'2.지점별통계'!$B$4</f>
        <v/>
      </c>
      <c r="F84" s="42">
        <f>(C84-E84)*1000</f>
        <v/>
      </c>
    </row>
    <row r="85">
      <c r="A85" t="n">
        <v>3</v>
      </c>
      <c r="B85" t="inlineStr">
        <is>
          <t>흡입(up)</t>
        </is>
      </c>
      <c r="C85" s="40" t="n">
        <v>3.9</v>
      </c>
      <c r="D85" s="41" t="n">
        <v>11.28</v>
      </c>
      <c r="E85" s="41">
        <f>D85*'2.지점별통계'!$B$3+'2.지점별통계'!$B$4</f>
        <v/>
      </c>
      <c r="F85" s="42">
        <f>(C85-E85)*1000</f>
        <v/>
      </c>
    </row>
    <row r="86">
      <c r="A86" t="n">
        <v>3</v>
      </c>
      <c r="B86" t="inlineStr">
        <is>
          <t>흡입(up)</t>
        </is>
      </c>
      <c r="C86" s="40" t="n">
        <v>4.2</v>
      </c>
      <c r="D86" s="41" t="n">
        <v>13.31</v>
      </c>
      <c r="E86" s="41">
        <f>D86*'2.지점별통계'!$B$3+'2.지점별통계'!$B$4</f>
        <v/>
      </c>
      <c r="F86" s="42">
        <f>(C86-E86)*1000</f>
        <v/>
      </c>
    </row>
    <row r="87">
      <c r="A87" t="n">
        <v>3</v>
      </c>
      <c r="B87" t="inlineStr">
        <is>
          <t>흡입(up)</t>
        </is>
      </c>
      <c r="C87" s="40" t="n">
        <v>4.5</v>
      </c>
      <c r="D87" s="41" t="n">
        <v>12.3</v>
      </c>
      <c r="E87" s="41">
        <f>D87*'2.지점별통계'!$B$3+'2.지점별통계'!$B$4</f>
        <v/>
      </c>
      <c r="F87" s="42">
        <f>(C87-E87)*1000</f>
        <v/>
      </c>
    </row>
    <row r="88">
      <c r="A88" t="n">
        <v>3</v>
      </c>
      <c r="B88" t="inlineStr">
        <is>
          <t>흡입(up)</t>
        </is>
      </c>
      <c r="C88" s="40" t="n">
        <v>4.8</v>
      </c>
      <c r="D88" s="41" t="n">
        <v>12.97</v>
      </c>
      <c r="E88" s="41">
        <f>D88*'2.지점별통계'!$B$3+'2.지점별통계'!$B$4</f>
        <v/>
      </c>
      <c r="F88" s="42">
        <f>(C88-E88)*1000</f>
        <v/>
      </c>
    </row>
    <row r="89">
      <c r="A89" t="n">
        <v>3</v>
      </c>
      <c r="B89" t="inlineStr">
        <is>
          <t>흡입(up)</t>
        </is>
      </c>
      <c r="C89" s="40" t="n">
        <v>5</v>
      </c>
      <c r="D89" s="41" t="n">
        <v>12.62</v>
      </c>
      <c r="E89" s="41">
        <f>D89*'2.지점별통계'!$B$3+'2.지점별통계'!$B$4</f>
        <v/>
      </c>
      <c r="F89" s="42">
        <f>(C89-E89)*1000</f>
        <v/>
      </c>
    </row>
    <row r="90">
      <c r="A90" t="n">
        <v>3</v>
      </c>
      <c r="B90" t="inlineStr">
        <is>
          <t>토출(down)</t>
        </is>
      </c>
      <c r="C90" s="40" t="n">
        <v>4.8</v>
      </c>
      <c r="D90" s="41" t="n">
        <v>12.97</v>
      </c>
      <c r="E90" s="41">
        <f>D90*'2.지점별통계'!$B$3+'2.지점별통계'!$B$4</f>
        <v/>
      </c>
      <c r="F90" s="42">
        <f>(C90-E90)*1000</f>
        <v/>
      </c>
    </row>
    <row r="91">
      <c r="A91" t="n">
        <v>3</v>
      </c>
      <c r="B91" t="inlineStr">
        <is>
          <t>토출(down)</t>
        </is>
      </c>
      <c r="C91" s="40" t="n">
        <v>4.5</v>
      </c>
      <c r="D91" s="41" t="n">
        <v>12.3</v>
      </c>
      <c r="E91" s="41">
        <f>D91*'2.지점별통계'!$B$3+'2.지점별통계'!$B$4</f>
        <v/>
      </c>
      <c r="F91" s="42">
        <f>(C91-E91)*1000</f>
        <v/>
      </c>
    </row>
    <row r="92">
      <c r="A92" t="n">
        <v>3</v>
      </c>
      <c r="B92" t="inlineStr">
        <is>
          <t>토출(down)</t>
        </is>
      </c>
      <c r="C92" s="40" t="n">
        <v>4.2</v>
      </c>
      <c r="D92" s="41" t="n">
        <v>12.97</v>
      </c>
      <c r="E92" s="41">
        <f>D92*'2.지점별통계'!$B$3+'2.지점별통계'!$B$4</f>
        <v/>
      </c>
      <c r="F92" s="42">
        <f>(C92-E92)*1000</f>
        <v/>
      </c>
    </row>
    <row r="93">
      <c r="A93" t="n">
        <v>3</v>
      </c>
      <c r="B93" t="inlineStr">
        <is>
          <t>토출(down)</t>
        </is>
      </c>
      <c r="C93" s="40" t="n">
        <v>3.9</v>
      </c>
      <c r="D93" s="41" t="n">
        <v>11.835</v>
      </c>
      <c r="E93" s="41">
        <f>D93*'2.지점별통계'!$B$3+'2.지점별통계'!$B$4</f>
        <v/>
      </c>
      <c r="F93" s="42">
        <f>(C93-E93)*1000</f>
        <v/>
      </c>
    </row>
    <row r="94">
      <c r="A94" t="n">
        <v>3</v>
      </c>
      <c r="B94" t="inlineStr">
        <is>
          <t>토출(down)</t>
        </is>
      </c>
      <c r="C94" s="40" t="n">
        <v>3.6</v>
      </c>
      <c r="D94" s="41" t="n">
        <v>11.97</v>
      </c>
      <c r="E94" s="41">
        <f>D94*'2.지점별통계'!$B$3+'2.지점별통계'!$B$4</f>
        <v/>
      </c>
      <c r="F94" s="42">
        <f>(C94-E94)*1000</f>
        <v/>
      </c>
    </row>
    <row r="95">
      <c r="A95" t="n">
        <v>3</v>
      </c>
      <c r="B95" t="inlineStr">
        <is>
          <t>토출(down)</t>
        </is>
      </c>
      <c r="C95" s="40" t="n">
        <v>3.3</v>
      </c>
      <c r="D95" s="41" t="n">
        <v>11.29</v>
      </c>
      <c r="E95" s="41">
        <f>D95*'2.지점별통계'!$B$3+'2.지점별통계'!$B$4</f>
        <v/>
      </c>
      <c r="F95" s="42">
        <f>(C95-E95)*1000</f>
        <v/>
      </c>
    </row>
    <row r="96">
      <c r="A96" t="n">
        <v>3</v>
      </c>
      <c r="B96" t="inlineStr">
        <is>
          <t>토출(down)</t>
        </is>
      </c>
      <c r="C96" s="40" t="n">
        <v>3</v>
      </c>
      <c r="D96" s="41" t="n">
        <v>11.95</v>
      </c>
      <c r="E96" s="41">
        <f>D96*'2.지점별통계'!$B$3+'2.지점별통계'!$B$4</f>
        <v/>
      </c>
      <c r="F96" s="42">
        <f>(C96-E96)*1000</f>
        <v/>
      </c>
    </row>
    <row r="97">
      <c r="A97" t="n">
        <v>3</v>
      </c>
      <c r="B97" t="inlineStr">
        <is>
          <t>토출(down)</t>
        </is>
      </c>
      <c r="C97" s="40" t="n">
        <v>2.7</v>
      </c>
      <c r="D97" s="41" t="n">
        <v>11.3</v>
      </c>
      <c r="E97" s="41">
        <f>D97*'2.지점별통계'!$B$3+'2.지점별통계'!$B$4</f>
        <v/>
      </c>
      <c r="F97" s="42">
        <f>(C97-E97)*1000</f>
        <v/>
      </c>
    </row>
    <row r="98">
      <c r="A98" t="n">
        <v>3</v>
      </c>
      <c r="B98" t="inlineStr">
        <is>
          <t>토출(down)</t>
        </is>
      </c>
      <c r="C98" s="40" t="n">
        <v>2.4</v>
      </c>
      <c r="D98" s="41" t="n">
        <v>10.96</v>
      </c>
      <c r="E98" s="41">
        <f>D98*'2.지점별통계'!$B$3+'2.지점별통계'!$B$4</f>
        <v/>
      </c>
      <c r="F98" s="42">
        <f>(C98-E98)*1000</f>
        <v/>
      </c>
    </row>
    <row r="99">
      <c r="A99" t="n">
        <v>3</v>
      </c>
      <c r="B99" t="inlineStr">
        <is>
          <t>토출(down)</t>
        </is>
      </c>
      <c r="C99" s="40" t="n">
        <v>2.1</v>
      </c>
      <c r="D99" s="41" t="n">
        <v>10.29</v>
      </c>
      <c r="E99" s="41">
        <f>D99*'2.지점별통계'!$B$3+'2.지점별통계'!$B$4</f>
        <v/>
      </c>
      <c r="F99" s="42">
        <f>(C99-E99)*1000</f>
        <v/>
      </c>
    </row>
    <row r="100">
      <c r="A100" t="n">
        <v>3</v>
      </c>
      <c r="B100" t="inlineStr">
        <is>
          <t>토출(down)</t>
        </is>
      </c>
      <c r="C100" s="40" t="n">
        <v>1.8</v>
      </c>
      <c r="D100" s="41" t="n">
        <v>9.710000000000001</v>
      </c>
      <c r="E100" s="41">
        <f>D100*'2.지점별통계'!$B$3+'2.지점별통계'!$B$4</f>
        <v/>
      </c>
      <c r="F100" s="42">
        <f>(C100-E100)*1000</f>
        <v/>
      </c>
    </row>
    <row r="101">
      <c r="A101" t="n">
        <v>3</v>
      </c>
      <c r="B101" t="inlineStr">
        <is>
          <t>토출(down)</t>
        </is>
      </c>
      <c r="C101" s="40" t="n">
        <v>1.5</v>
      </c>
      <c r="D101" s="41" t="n">
        <v>10.34</v>
      </c>
      <c r="E101" s="41">
        <f>D101*'2.지점별통계'!$B$3+'2.지점별통계'!$B$4</f>
        <v/>
      </c>
      <c r="F101" s="42">
        <f>(C101-E101)*1000</f>
        <v/>
      </c>
    </row>
    <row r="102">
      <c r="A102" t="n">
        <v>3</v>
      </c>
      <c r="B102" t="inlineStr">
        <is>
          <t>토출(down)</t>
        </is>
      </c>
      <c r="C102" s="40" t="n">
        <v>1.2</v>
      </c>
      <c r="D102" s="41" t="n">
        <v>9.619999999999999</v>
      </c>
      <c r="E102" s="41">
        <f>D102*'2.지점별통계'!$B$3+'2.지점별통계'!$B$4</f>
        <v/>
      </c>
      <c r="F102" s="42">
        <f>(C102-E102)*1000</f>
        <v/>
      </c>
    </row>
    <row r="103">
      <c r="A103" t="n">
        <v>3</v>
      </c>
      <c r="B103" t="inlineStr">
        <is>
          <t>토출(down)</t>
        </is>
      </c>
      <c r="C103" s="40" t="n">
        <v>0.9</v>
      </c>
      <c r="D103" s="41" t="n">
        <v>9.33</v>
      </c>
      <c r="E103" s="41">
        <f>D103*'2.지점별통계'!$B$3+'2.지점별통계'!$B$4</f>
        <v/>
      </c>
      <c r="F103" s="42">
        <f>(C103-E103)*1000</f>
        <v/>
      </c>
    </row>
    <row r="104">
      <c r="A104" t="n">
        <v>3</v>
      </c>
      <c r="B104" t="inlineStr">
        <is>
          <t>토출(down)</t>
        </is>
      </c>
      <c r="C104" s="40" t="n">
        <v>0.6</v>
      </c>
      <c r="D104" s="41" t="n">
        <v>9.619999999999999</v>
      </c>
      <c r="E104" s="41">
        <f>D104*'2.지점별통계'!$B$3+'2.지점별통계'!$B$4</f>
        <v/>
      </c>
      <c r="F104" s="42">
        <f>(C104-E104)*1000</f>
        <v/>
      </c>
    </row>
    <row r="105">
      <c r="A105" t="n">
        <v>3</v>
      </c>
      <c r="B105" t="inlineStr">
        <is>
          <t>토출(down)</t>
        </is>
      </c>
      <c r="C105" s="40" t="n">
        <v>0.3</v>
      </c>
      <c r="D105" s="41" t="n">
        <v>9.039999999999999</v>
      </c>
      <c r="E105" s="41">
        <f>D105*'2.지점별통계'!$B$3+'2.지점별통계'!$B$4</f>
        <v/>
      </c>
      <c r="F105" s="42">
        <f>(C105-E105)*1000</f>
        <v/>
      </c>
    </row>
    <row r="106">
      <c r="A106" t="n">
        <v>3</v>
      </c>
      <c r="B106" t="inlineStr">
        <is>
          <t>토출(down)</t>
        </is>
      </c>
      <c r="C106" s="40" t="n">
        <v>0</v>
      </c>
      <c r="D106" s="41" t="n">
        <v>8.66</v>
      </c>
      <c r="E106" s="41">
        <f>D106*'2.지점별통계'!$B$3+'2.지점별통계'!$B$4</f>
        <v/>
      </c>
      <c r="F106" s="42">
        <f>(C106-E106)*1000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39" t="inlineStr">
        <is>
          <t>추정 부피(mL)</t>
        </is>
      </c>
      <c r="B1" s="39" t="inlineStr">
        <is>
          <t>raw(cm)</t>
        </is>
      </c>
    </row>
    <row r="2">
      <c r="A2" t="n">
        <v>0.004</v>
      </c>
      <c r="B2" t="n">
        <v>8.710000000000001</v>
      </c>
    </row>
    <row r="3">
      <c r="A3" t="n">
        <v>0.017</v>
      </c>
      <c r="B3" t="n">
        <v>8.710000000000001</v>
      </c>
    </row>
    <row r="4">
      <c r="A4" t="n">
        <v>0.03</v>
      </c>
      <c r="B4" t="n">
        <v>8.25</v>
      </c>
    </row>
    <row r="5">
      <c r="A5" t="n">
        <v>0.043</v>
      </c>
      <c r="B5" t="n">
        <v>8.35</v>
      </c>
    </row>
    <row r="6">
      <c r="A6" t="n">
        <v>0.057</v>
      </c>
      <c r="B6" t="n">
        <v>8.35</v>
      </c>
    </row>
    <row r="7">
      <c r="A7" t="n">
        <v>0.07000000000000001</v>
      </c>
      <c r="B7" t="n">
        <v>8.25</v>
      </c>
    </row>
    <row r="8">
      <c r="A8" t="n">
        <v>0.083</v>
      </c>
      <c r="B8" t="n">
        <v>8.369999999999999</v>
      </c>
    </row>
    <row r="9">
      <c r="A9" t="n">
        <v>0.096</v>
      </c>
      <c r="B9" t="n">
        <v>8.35</v>
      </c>
    </row>
    <row r="10">
      <c r="A10" t="n">
        <v>0.109</v>
      </c>
      <c r="B10" t="n">
        <v>8.25</v>
      </c>
    </row>
    <row r="11">
      <c r="A11" t="n">
        <v>0.123</v>
      </c>
      <c r="B11" t="n">
        <v>8.35</v>
      </c>
    </row>
    <row r="12">
      <c r="A12" t="n">
        <v>0.136</v>
      </c>
      <c r="B12" t="n">
        <v>8.25</v>
      </c>
    </row>
    <row r="13">
      <c r="A13" t="n">
        <v>0.149</v>
      </c>
      <c r="B13" t="n">
        <v>8.27</v>
      </c>
    </row>
    <row r="14">
      <c r="A14" t="n">
        <v>0.162</v>
      </c>
      <c r="B14" t="n">
        <v>9.380000000000001</v>
      </c>
    </row>
    <row r="15">
      <c r="A15" t="n">
        <v>0.175</v>
      </c>
      <c r="B15" t="n">
        <v>9.380000000000001</v>
      </c>
    </row>
    <row r="16">
      <c r="A16" t="n">
        <v>0.189</v>
      </c>
      <c r="B16" t="n">
        <v>9.279999999999999</v>
      </c>
    </row>
    <row r="17">
      <c r="A17" t="n">
        <v>0.202</v>
      </c>
      <c r="B17" t="n">
        <v>9.279999999999999</v>
      </c>
    </row>
    <row r="18">
      <c r="A18" t="n">
        <v>0.215</v>
      </c>
      <c r="B18" t="n">
        <v>9.380000000000001</v>
      </c>
    </row>
    <row r="19">
      <c r="A19" t="n">
        <v>0.228</v>
      </c>
      <c r="B19" t="n">
        <v>9.380000000000001</v>
      </c>
    </row>
    <row r="20">
      <c r="A20" t="n">
        <v>0.241</v>
      </c>
      <c r="B20" t="n">
        <v>9.279999999999999</v>
      </c>
    </row>
    <row r="21">
      <c r="A21" t="n">
        <v>0.255</v>
      </c>
      <c r="B21" t="n">
        <v>9.279999999999999</v>
      </c>
    </row>
    <row r="22">
      <c r="A22" t="n">
        <v>0.268</v>
      </c>
      <c r="B22" t="n">
        <v>9.279999999999999</v>
      </c>
    </row>
    <row r="23">
      <c r="A23" t="n">
        <v>0.281</v>
      </c>
      <c r="B23" t="n">
        <v>9.06</v>
      </c>
    </row>
    <row r="24">
      <c r="A24" t="n">
        <v>0.294</v>
      </c>
      <c r="B24" t="n">
        <v>9.06</v>
      </c>
    </row>
    <row r="25">
      <c r="A25" t="n">
        <v>0.307</v>
      </c>
      <c r="B25" t="n">
        <v>8.94</v>
      </c>
    </row>
    <row r="26">
      <c r="A26" t="n">
        <v>0.321</v>
      </c>
      <c r="B26" t="n">
        <v>9.06</v>
      </c>
    </row>
    <row r="27">
      <c r="A27" t="n">
        <v>0.334</v>
      </c>
      <c r="B27" t="n">
        <v>9.06</v>
      </c>
    </row>
    <row r="28">
      <c r="A28" t="n">
        <v>0.347</v>
      </c>
      <c r="B28" t="n">
        <v>8.949999999999999</v>
      </c>
    </row>
    <row r="29">
      <c r="A29" t="n">
        <v>0.36</v>
      </c>
      <c r="B29" t="n">
        <v>8.94</v>
      </c>
    </row>
    <row r="30">
      <c r="A30" t="n">
        <v>0.373</v>
      </c>
      <c r="B30" t="n">
        <v>9.06</v>
      </c>
    </row>
    <row r="31">
      <c r="A31" t="n">
        <v>0.387</v>
      </c>
      <c r="B31" t="n">
        <v>9.06</v>
      </c>
    </row>
    <row r="32">
      <c r="A32" t="n">
        <v>0.4</v>
      </c>
      <c r="B32" t="n">
        <v>8.949999999999999</v>
      </c>
    </row>
    <row r="33">
      <c r="A33" t="n">
        <v>0.413</v>
      </c>
      <c r="B33" t="n">
        <v>8.94</v>
      </c>
    </row>
    <row r="34">
      <c r="A34" t="n">
        <v>0.426</v>
      </c>
      <c r="B34" t="n">
        <v>9.06</v>
      </c>
    </row>
    <row r="35">
      <c r="A35" t="n">
        <v>0.44</v>
      </c>
      <c r="B35" t="n">
        <v>9.06</v>
      </c>
    </row>
    <row r="36">
      <c r="A36" t="n">
        <v>0.453</v>
      </c>
      <c r="B36" t="n">
        <v>8.949999999999999</v>
      </c>
    </row>
    <row r="37">
      <c r="A37" t="n">
        <v>0.466</v>
      </c>
      <c r="B37" t="n">
        <v>9.949999999999999</v>
      </c>
    </row>
    <row r="38">
      <c r="A38" t="n">
        <v>0.479</v>
      </c>
      <c r="B38" t="n">
        <v>8.710000000000001</v>
      </c>
    </row>
    <row r="39">
      <c r="A39" t="n">
        <v>0.492</v>
      </c>
      <c r="B39" t="n">
        <v>8.609999999999999</v>
      </c>
    </row>
    <row r="40">
      <c r="A40" t="n">
        <v>0.505</v>
      </c>
      <c r="B40" t="n">
        <v>8.609999999999999</v>
      </c>
    </row>
    <row r="41">
      <c r="A41" t="n">
        <v>0.519</v>
      </c>
      <c r="B41" t="n">
        <v>8.710000000000001</v>
      </c>
    </row>
    <row r="42">
      <c r="A42" t="n">
        <v>0.532</v>
      </c>
      <c r="B42" t="n">
        <v>8.710000000000001</v>
      </c>
    </row>
    <row r="43">
      <c r="A43" t="n">
        <v>0.545</v>
      </c>
      <c r="B43" t="n">
        <v>8.609999999999999</v>
      </c>
    </row>
    <row r="44">
      <c r="A44" t="n">
        <v>0.5580000000000001</v>
      </c>
      <c r="B44" t="n">
        <v>8.710000000000001</v>
      </c>
    </row>
    <row r="45">
      <c r="A45" t="n">
        <v>0.572</v>
      </c>
      <c r="B45" t="n">
        <v>8.710000000000001</v>
      </c>
    </row>
    <row r="46">
      <c r="A46" t="n">
        <v>0.585</v>
      </c>
      <c r="B46" t="n">
        <v>8.609999999999999</v>
      </c>
    </row>
    <row r="47">
      <c r="A47" t="n">
        <v>0.598</v>
      </c>
      <c r="B47" t="n">
        <v>9.619999999999999</v>
      </c>
    </row>
    <row r="48">
      <c r="A48" t="n">
        <v>0.611</v>
      </c>
      <c r="B48" t="n">
        <v>9.720000000000001</v>
      </c>
    </row>
    <row r="49">
      <c r="A49" t="n">
        <v>0.624</v>
      </c>
      <c r="B49" t="n">
        <v>9.720000000000001</v>
      </c>
    </row>
    <row r="50">
      <c r="A50" t="n">
        <v>0.638</v>
      </c>
      <c r="B50" t="n">
        <v>9.710000000000001</v>
      </c>
    </row>
    <row r="51">
      <c r="A51" t="n">
        <v>0.651</v>
      </c>
      <c r="B51" t="n">
        <v>9.6</v>
      </c>
    </row>
    <row r="52">
      <c r="A52" t="n">
        <v>0.664</v>
      </c>
      <c r="B52" t="n">
        <v>9.619999999999999</v>
      </c>
    </row>
    <row r="53">
      <c r="A53" t="n">
        <v>0.677</v>
      </c>
      <c r="B53" t="n">
        <v>9.710000000000001</v>
      </c>
    </row>
    <row r="54">
      <c r="A54" t="n">
        <v>0.6899999999999999</v>
      </c>
      <c r="B54" t="n">
        <v>9.720000000000001</v>
      </c>
    </row>
    <row r="55">
      <c r="A55" t="n">
        <v>0.704</v>
      </c>
      <c r="B55" t="n">
        <v>9.380000000000001</v>
      </c>
    </row>
    <row r="56">
      <c r="A56" t="n">
        <v>0.717</v>
      </c>
      <c r="B56" t="n">
        <v>9.279999999999999</v>
      </c>
    </row>
    <row r="57">
      <c r="A57" t="n">
        <v>0.73</v>
      </c>
      <c r="B57" t="n">
        <v>9.279999999999999</v>
      </c>
    </row>
    <row r="58">
      <c r="A58" t="n">
        <v>0.743</v>
      </c>
      <c r="B58" t="n">
        <v>9.380000000000001</v>
      </c>
    </row>
    <row r="59">
      <c r="A59" t="n">
        <v>0.756</v>
      </c>
      <c r="B59" t="n">
        <v>9.380000000000001</v>
      </c>
    </row>
    <row r="60">
      <c r="A60" t="n">
        <v>0.769</v>
      </c>
      <c r="B60" t="n">
        <v>9.380000000000001</v>
      </c>
    </row>
    <row r="61">
      <c r="A61" t="n">
        <v>0.782</v>
      </c>
      <c r="B61" t="n">
        <v>9.279999999999999</v>
      </c>
    </row>
    <row r="62">
      <c r="A62" t="n">
        <v>0.795</v>
      </c>
      <c r="B62" t="n">
        <v>9.31</v>
      </c>
    </row>
    <row r="63">
      <c r="A63" t="n">
        <v>0.8090000000000001</v>
      </c>
      <c r="B63" t="n">
        <v>9.380000000000001</v>
      </c>
    </row>
    <row r="64">
      <c r="A64" t="n">
        <v>0.822</v>
      </c>
      <c r="B64" t="n">
        <v>9.380000000000001</v>
      </c>
    </row>
    <row r="65">
      <c r="A65" t="n">
        <v>0.835</v>
      </c>
      <c r="B65" t="n">
        <v>9.279999999999999</v>
      </c>
    </row>
    <row r="66">
      <c r="A66" t="n">
        <v>0.848</v>
      </c>
      <c r="B66" t="n">
        <v>9.279999999999999</v>
      </c>
    </row>
    <row r="67">
      <c r="A67" t="n">
        <v>0.862</v>
      </c>
      <c r="B67" t="n">
        <v>9.380000000000001</v>
      </c>
    </row>
    <row r="68">
      <c r="A68" t="n">
        <v>0.875</v>
      </c>
      <c r="B68" t="n">
        <v>9.380000000000001</v>
      </c>
    </row>
    <row r="69">
      <c r="A69" t="n">
        <v>0.888</v>
      </c>
      <c r="B69" t="n">
        <v>9.279999999999999</v>
      </c>
    </row>
    <row r="70">
      <c r="A70" t="n">
        <v>0.901</v>
      </c>
      <c r="B70" t="n">
        <v>8.949999999999999</v>
      </c>
    </row>
    <row r="71">
      <c r="A71" t="n">
        <v>0.914</v>
      </c>
      <c r="B71" t="n">
        <v>9.039999999999999</v>
      </c>
    </row>
    <row r="72">
      <c r="A72" t="n">
        <v>0.927</v>
      </c>
      <c r="B72" t="n">
        <v>9.039999999999999</v>
      </c>
    </row>
    <row r="73">
      <c r="A73" t="n">
        <v>0.9409999999999999</v>
      </c>
      <c r="B73" t="n">
        <v>8.94</v>
      </c>
    </row>
    <row r="74">
      <c r="A74" t="n">
        <v>0.954</v>
      </c>
      <c r="B74" t="n">
        <v>8.94</v>
      </c>
    </row>
    <row r="75">
      <c r="A75" t="n">
        <v>0.967</v>
      </c>
      <c r="B75" t="n">
        <v>9.06</v>
      </c>
    </row>
    <row r="76">
      <c r="A76" t="n">
        <v>0.98</v>
      </c>
      <c r="B76" t="n">
        <v>9.039999999999999</v>
      </c>
    </row>
    <row r="77">
      <c r="A77" t="n">
        <v>0.994</v>
      </c>
      <c r="B77" t="n">
        <v>8.94</v>
      </c>
    </row>
    <row r="78">
      <c r="A78" t="n">
        <v>1.007</v>
      </c>
      <c r="B78" t="n">
        <v>8.949999999999999</v>
      </c>
    </row>
    <row r="79">
      <c r="A79" t="n">
        <v>1.02</v>
      </c>
      <c r="B79" t="n">
        <v>9.06</v>
      </c>
    </row>
    <row r="80">
      <c r="A80" t="n">
        <v>1.033</v>
      </c>
      <c r="B80" t="n">
        <v>10.07</v>
      </c>
    </row>
    <row r="81">
      <c r="A81" t="n">
        <v>1.046</v>
      </c>
      <c r="B81" t="n">
        <v>10.05</v>
      </c>
    </row>
    <row r="82">
      <c r="A82" t="n">
        <v>1.06</v>
      </c>
      <c r="B82" t="n">
        <v>9.949999999999999</v>
      </c>
    </row>
    <row r="83">
      <c r="A83" t="n">
        <v>1.073</v>
      </c>
      <c r="B83" t="n">
        <v>9.949999999999999</v>
      </c>
    </row>
    <row r="84">
      <c r="A84" t="n">
        <v>1.086</v>
      </c>
      <c r="B84" t="n">
        <v>9.949999999999999</v>
      </c>
    </row>
    <row r="85">
      <c r="A85" t="n">
        <v>1.099</v>
      </c>
      <c r="B85" t="n">
        <v>10.05</v>
      </c>
    </row>
    <row r="86">
      <c r="A86" t="n">
        <v>1.112</v>
      </c>
      <c r="B86" t="n">
        <v>9.6</v>
      </c>
    </row>
    <row r="87">
      <c r="A87" t="n">
        <v>1.125</v>
      </c>
      <c r="B87" t="n">
        <v>9.6</v>
      </c>
    </row>
    <row r="88">
      <c r="A88" t="n">
        <v>1.139</v>
      </c>
      <c r="B88" t="n">
        <v>9.619999999999999</v>
      </c>
    </row>
    <row r="89">
      <c r="A89" t="n">
        <v>1.152</v>
      </c>
      <c r="B89" t="n">
        <v>9.720000000000001</v>
      </c>
    </row>
    <row r="90">
      <c r="A90" t="n">
        <v>1.165</v>
      </c>
      <c r="B90" t="n">
        <v>9.720000000000001</v>
      </c>
    </row>
    <row r="91">
      <c r="A91" t="n">
        <v>1.178</v>
      </c>
      <c r="B91" t="n">
        <v>9.720000000000001</v>
      </c>
    </row>
    <row r="92">
      <c r="A92" t="n">
        <v>1.191</v>
      </c>
      <c r="B92" t="n">
        <v>9.6</v>
      </c>
    </row>
    <row r="93">
      <c r="A93" t="n">
        <v>1.204</v>
      </c>
      <c r="B93" t="n">
        <v>9.619999999999999</v>
      </c>
    </row>
    <row r="94">
      <c r="A94" t="n">
        <v>1.218</v>
      </c>
      <c r="B94" t="n">
        <v>9.67</v>
      </c>
    </row>
    <row r="95">
      <c r="A95" t="n">
        <v>1.231</v>
      </c>
      <c r="B95" t="n">
        <v>9.720000000000001</v>
      </c>
    </row>
    <row r="96">
      <c r="A96" t="n">
        <v>1.244</v>
      </c>
      <c r="B96" t="n">
        <v>9.710000000000001</v>
      </c>
    </row>
    <row r="97">
      <c r="A97" t="n">
        <v>1.257</v>
      </c>
      <c r="B97" t="n">
        <v>9.6</v>
      </c>
    </row>
    <row r="98">
      <c r="A98" t="n">
        <v>1.271</v>
      </c>
      <c r="B98" t="n">
        <v>9.619999999999999</v>
      </c>
    </row>
    <row r="99">
      <c r="A99" t="n">
        <v>1.284</v>
      </c>
      <c r="B99" t="n">
        <v>9.6</v>
      </c>
    </row>
    <row r="100">
      <c r="A100" t="n">
        <v>1.297</v>
      </c>
      <c r="B100" t="n">
        <v>9.710000000000001</v>
      </c>
    </row>
    <row r="101">
      <c r="A101" t="n">
        <v>1.31</v>
      </c>
      <c r="B101" t="n">
        <v>10.72</v>
      </c>
    </row>
    <row r="102">
      <c r="A102" t="n">
        <v>1.323</v>
      </c>
      <c r="B102" t="n">
        <v>9.380000000000001</v>
      </c>
    </row>
    <row r="103">
      <c r="A103" t="n">
        <v>1.337</v>
      </c>
      <c r="B103" t="n">
        <v>9.279999999999999</v>
      </c>
    </row>
    <row r="104">
      <c r="A104" t="n">
        <v>1.35</v>
      </c>
      <c r="B104" t="n">
        <v>9.279999999999999</v>
      </c>
    </row>
    <row r="105">
      <c r="A105" t="n">
        <v>1.363</v>
      </c>
      <c r="B105" t="n">
        <v>9.380000000000001</v>
      </c>
    </row>
    <row r="106">
      <c r="A106" t="n">
        <v>1.376</v>
      </c>
      <c r="B106" t="n">
        <v>9.380000000000001</v>
      </c>
    </row>
    <row r="107">
      <c r="A107" t="n">
        <v>1.389</v>
      </c>
      <c r="B107" t="n">
        <v>9.279999999999999</v>
      </c>
    </row>
    <row r="108">
      <c r="A108" t="n">
        <v>1.402</v>
      </c>
      <c r="B108" t="n">
        <v>9.279999999999999</v>
      </c>
    </row>
    <row r="109">
      <c r="A109" t="n">
        <v>1.415</v>
      </c>
      <c r="B109" t="n">
        <v>9.380000000000001</v>
      </c>
    </row>
    <row r="110">
      <c r="A110" t="n">
        <v>1.429</v>
      </c>
      <c r="B110" t="n">
        <v>9.380000000000001</v>
      </c>
    </row>
    <row r="111">
      <c r="A111" t="n">
        <v>1.442</v>
      </c>
      <c r="B111" t="n">
        <v>9.279999999999999</v>
      </c>
    </row>
    <row r="112">
      <c r="A112" t="n">
        <v>1.455</v>
      </c>
      <c r="B112" t="n">
        <v>10.29</v>
      </c>
    </row>
    <row r="113">
      <c r="A113" t="n">
        <v>1.468</v>
      </c>
      <c r="B113" t="n">
        <v>10.39</v>
      </c>
    </row>
    <row r="114">
      <c r="A114" t="n">
        <v>1.48</v>
      </c>
      <c r="B114" t="n">
        <v>10.29</v>
      </c>
    </row>
    <row r="115">
      <c r="A115" t="n">
        <v>1.494</v>
      </c>
      <c r="B115" t="n">
        <v>10.39</v>
      </c>
    </row>
    <row r="116">
      <c r="A116" t="n">
        <v>1.507</v>
      </c>
      <c r="B116" t="n">
        <v>10.39</v>
      </c>
    </row>
    <row r="117">
      <c r="A117" t="n">
        <v>1.52</v>
      </c>
      <c r="B117" t="n">
        <v>10.38</v>
      </c>
    </row>
    <row r="118">
      <c r="A118" t="n">
        <v>1.532</v>
      </c>
      <c r="B118" t="n">
        <v>10.39</v>
      </c>
    </row>
    <row r="119">
      <c r="A119" t="n">
        <v>1.544</v>
      </c>
      <c r="B119" t="n">
        <v>10.39</v>
      </c>
    </row>
    <row r="120">
      <c r="A120" t="n">
        <v>1.556</v>
      </c>
      <c r="B120" t="n">
        <v>10.29</v>
      </c>
    </row>
    <row r="121">
      <c r="A121" t="n">
        <v>1.569</v>
      </c>
      <c r="B121" t="n">
        <v>10.29</v>
      </c>
    </row>
    <row r="122">
      <c r="A122" t="n">
        <v>1.581</v>
      </c>
      <c r="B122" t="n">
        <v>9.949999999999999</v>
      </c>
    </row>
    <row r="123">
      <c r="A123" t="n">
        <v>1.593</v>
      </c>
      <c r="B123" t="n">
        <v>9.949999999999999</v>
      </c>
    </row>
    <row r="124">
      <c r="A124" t="n">
        <v>1.605</v>
      </c>
      <c r="B124" t="n">
        <v>9.949999999999999</v>
      </c>
    </row>
    <row r="125">
      <c r="A125" t="n">
        <v>1.617</v>
      </c>
      <c r="B125" t="n">
        <v>9.949999999999999</v>
      </c>
    </row>
    <row r="126">
      <c r="A126" t="n">
        <v>1.63</v>
      </c>
      <c r="B126" t="n">
        <v>9.949999999999999</v>
      </c>
    </row>
    <row r="127">
      <c r="A127" t="n">
        <v>1.643</v>
      </c>
      <c r="B127" t="n">
        <v>10.05</v>
      </c>
    </row>
    <row r="128">
      <c r="A128" t="n">
        <v>1.655</v>
      </c>
      <c r="B128" t="n">
        <v>10.05</v>
      </c>
    </row>
    <row r="129">
      <c r="A129" t="n">
        <v>1.667</v>
      </c>
      <c r="B129" t="n">
        <v>9.949999999999999</v>
      </c>
    </row>
    <row r="130">
      <c r="A130" t="n">
        <v>1.679</v>
      </c>
      <c r="B130" t="n">
        <v>9.949999999999999</v>
      </c>
    </row>
    <row r="131">
      <c r="A131" t="n">
        <v>1.692</v>
      </c>
      <c r="B131" t="n">
        <v>9.949999999999999</v>
      </c>
    </row>
    <row r="132">
      <c r="A132" t="n">
        <v>1.704</v>
      </c>
      <c r="B132" t="n">
        <v>9.6</v>
      </c>
    </row>
    <row r="133">
      <c r="A133" t="n">
        <v>1.716</v>
      </c>
      <c r="B133" t="n">
        <v>9.720000000000001</v>
      </c>
    </row>
    <row r="134">
      <c r="A134" t="n">
        <v>1.729</v>
      </c>
      <c r="B134" t="n">
        <v>9.710000000000001</v>
      </c>
    </row>
    <row r="135">
      <c r="A135" t="n">
        <v>1.741</v>
      </c>
      <c r="B135" t="n">
        <v>9.720000000000001</v>
      </c>
    </row>
    <row r="136">
      <c r="A136" t="n">
        <v>1.754</v>
      </c>
      <c r="B136" t="n">
        <v>9.6</v>
      </c>
    </row>
    <row r="137">
      <c r="A137" t="n">
        <v>1.766</v>
      </c>
      <c r="B137" t="n">
        <v>9.6</v>
      </c>
    </row>
    <row r="138">
      <c r="A138" t="n">
        <v>1.779</v>
      </c>
      <c r="B138" t="n">
        <v>9.710000000000001</v>
      </c>
    </row>
    <row r="139">
      <c r="A139" t="n">
        <v>1.791</v>
      </c>
      <c r="B139" t="n">
        <v>9.710000000000001</v>
      </c>
    </row>
    <row r="140">
      <c r="A140" t="n">
        <v>1.803</v>
      </c>
      <c r="B140" t="n">
        <v>9.710000000000001</v>
      </c>
    </row>
    <row r="141">
      <c r="A141" t="n">
        <v>1.815</v>
      </c>
      <c r="B141" t="n">
        <v>9.720000000000001</v>
      </c>
    </row>
    <row r="142">
      <c r="A142" t="n">
        <v>1.828</v>
      </c>
      <c r="B142" t="n">
        <v>9.710000000000001</v>
      </c>
    </row>
    <row r="143">
      <c r="A143" t="n">
        <v>1.84</v>
      </c>
      <c r="B143" t="n">
        <v>9.619999999999999</v>
      </c>
    </row>
    <row r="144">
      <c r="A144" t="n">
        <v>1.852</v>
      </c>
      <c r="B144" t="n">
        <v>9.6</v>
      </c>
    </row>
    <row r="145">
      <c r="A145" t="n">
        <v>1.864</v>
      </c>
      <c r="B145" t="n">
        <v>9.619999999999999</v>
      </c>
    </row>
    <row r="146">
      <c r="A146" t="n">
        <v>1.877</v>
      </c>
      <c r="B146" t="n">
        <v>9.6</v>
      </c>
    </row>
    <row r="147">
      <c r="A147" t="n">
        <v>1.889</v>
      </c>
      <c r="B147" t="n">
        <v>10.62</v>
      </c>
    </row>
    <row r="148">
      <c r="A148" t="n">
        <v>1.901</v>
      </c>
      <c r="B148" t="n">
        <v>10.62</v>
      </c>
    </row>
    <row r="149">
      <c r="A149" t="n">
        <v>1.913</v>
      </c>
      <c r="B149" t="n">
        <v>10.63</v>
      </c>
    </row>
    <row r="150">
      <c r="A150" t="n">
        <v>1.925</v>
      </c>
      <c r="B150" t="n">
        <v>10.62</v>
      </c>
    </row>
    <row r="151">
      <c r="A151" t="n">
        <v>1.938</v>
      </c>
      <c r="B151" t="n">
        <v>10.62</v>
      </c>
    </row>
    <row r="152">
      <c r="A152" t="n">
        <v>1.95</v>
      </c>
      <c r="B152" t="n">
        <v>10.62</v>
      </c>
    </row>
    <row r="153">
      <c r="A153" t="n">
        <v>1.962</v>
      </c>
      <c r="B153" t="n">
        <v>10.62</v>
      </c>
    </row>
    <row r="154">
      <c r="A154" t="n">
        <v>1.974</v>
      </c>
      <c r="B154" t="n">
        <v>10.62</v>
      </c>
    </row>
    <row r="155">
      <c r="A155" t="n">
        <v>1.986</v>
      </c>
      <c r="B155" t="n">
        <v>10.62</v>
      </c>
    </row>
    <row r="156">
      <c r="A156" t="n">
        <v>1.999</v>
      </c>
      <c r="B156" t="n">
        <v>10.62</v>
      </c>
    </row>
    <row r="157">
      <c r="A157" t="n">
        <v>2.011</v>
      </c>
      <c r="B157" t="n">
        <v>10.72</v>
      </c>
    </row>
    <row r="158">
      <c r="A158" t="n">
        <v>2.023</v>
      </c>
      <c r="B158" t="n">
        <v>11.73</v>
      </c>
    </row>
    <row r="159">
      <c r="A159" t="n">
        <v>2.035</v>
      </c>
      <c r="B159" t="n">
        <v>11.73</v>
      </c>
    </row>
    <row r="160">
      <c r="A160" t="n">
        <v>2.048</v>
      </c>
      <c r="B160" t="n">
        <v>10.39</v>
      </c>
    </row>
    <row r="161">
      <c r="A161" t="n">
        <v>2.06</v>
      </c>
      <c r="B161" t="n">
        <v>10.39</v>
      </c>
    </row>
    <row r="162">
      <c r="A162" t="n">
        <v>2.072</v>
      </c>
      <c r="B162" t="n">
        <v>10.39</v>
      </c>
    </row>
    <row r="163">
      <c r="A163" t="n">
        <v>2.084</v>
      </c>
      <c r="B163" t="n">
        <v>10.39</v>
      </c>
    </row>
    <row r="164">
      <c r="A164" t="n">
        <v>2.096</v>
      </c>
      <c r="B164" t="n">
        <v>10.39</v>
      </c>
    </row>
    <row r="165">
      <c r="A165" t="n">
        <v>2.109</v>
      </c>
      <c r="B165" t="n">
        <v>10.39</v>
      </c>
    </row>
    <row r="166">
      <c r="A166" t="n">
        <v>2.121</v>
      </c>
      <c r="B166" t="n">
        <v>11.39</v>
      </c>
    </row>
    <row r="167">
      <c r="A167" t="n">
        <v>2.133</v>
      </c>
      <c r="B167" t="n">
        <v>10.05</v>
      </c>
    </row>
    <row r="168">
      <c r="A168" t="n">
        <v>2.145</v>
      </c>
      <c r="B168" t="n">
        <v>10.05</v>
      </c>
    </row>
    <row r="169">
      <c r="A169" t="n">
        <v>2.158</v>
      </c>
      <c r="B169" t="n">
        <v>10.05</v>
      </c>
    </row>
    <row r="170">
      <c r="A170" t="n">
        <v>2.17</v>
      </c>
      <c r="B170" t="n">
        <v>10.05</v>
      </c>
    </row>
    <row r="171">
      <c r="A171" t="n">
        <v>2.182</v>
      </c>
      <c r="B171" t="n">
        <v>10.05</v>
      </c>
    </row>
    <row r="172">
      <c r="A172" t="n">
        <v>2.194</v>
      </c>
      <c r="B172" t="n">
        <v>10.05</v>
      </c>
    </row>
    <row r="173">
      <c r="A173" t="n">
        <v>2.207</v>
      </c>
      <c r="B173" t="n">
        <v>10.05</v>
      </c>
    </row>
    <row r="174">
      <c r="A174" t="n">
        <v>2.219</v>
      </c>
      <c r="B174" t="n">
        <v>10.07</v>
      </c>
    </row>
    <row r="175">
      <c r="A175" t="n">
        <v>2.231</v>
      </c>
      <c r="B175" t="n">
        <v>10.07</v>
      </c>
    </row>
    <row r="176">
      <c r="A176" t="n">
        <v>2.243</v>
      </c>
      <c r="B176" t="n">
        <v>10.05</v>
      </c>
    </row>
    <row r="177">
      <c r="A177" t="n">
        <v>2.255</v>
      </c>
      <c r="B177" t="n">
        <v>10.05</v>
      </c>
    </row>
    <row r="178">
      <c r="A178" t="n">
        <v>2.268</v>
      </c>
      <c r="B178" t="n">
        <v>11.06</v>
      </c>
    </row>
    <row r="179">
      <c r="A179" t="n">
        <v>2.28</v>
      </c>
      <c r="B179" t="n">
        <v>11.04</v>
      </c>
    </row>
    <row r="180">
      <c r="A180" t="n">
        <v>2.292</v>
      </c>
      <c r="B180" t="n">
        <v>11.06</v>
      </c>
    </row>
    <row r="181">
      <c r="A181" t="n">
        <v>2.304</v>
      </c>
      <c r="B181" t="n">
        <v>9.720000000000001</v>
      </c>
    </row>
    <row r="182">
      <c r="A182" t="n">
        <v>2.317</v>
      </c>
      <c r="B182" t="n">
        <v>9.720000000000001</v>
      </c>
    </row>
    <row r="183">
      <c r="A183" t="n">
        <v>2.329</v>
      </c>
      <c r="B183" t="n">
        <v>9.710000000000001</v>
      </c>
    </row>
    <row r="184">
      <c r="A184" t="n">
        <v>2.341</v>
      </c>
      <c r="B184" t="n">
        <v>9.720000000000001</v>
      </c>
    </row>
    <row r="185">
      <c r="A185" t="n">
        <v>2.353</v>
      </c>
      <c r="B185" t="n">
        <v>9.720000000000001</v>
      </c>
    </row>
    <row r="186">
      <c r="A186" t="n">
        <v>2.365</v>
      </c>
      <c r="B186" t="n">
        <v>11.06</v>
      </c>
    </row>
    <row r="187">
      <c r="A187" t="n">
        <v>2.378</v>
      </c>
      <c r="B187" t="n">
        <v>11.06</v>
      </c>
    </row>
    <row r="188">
      <c r="A188" t="n">
        <v>2.39</v>
      </c>
      <c r="B188" t="n">
        <v>11.06</v>
      </c>
    </row>
    <row r="189">
      <c r="A189" t="n">
        <v>2.403</v>
      </c>
      <c r="B189" t="n">
        <v>10.96</v>
      </c>
    </row>
    <row r="190">
      <c r="A190" t="n">
        <v>2.416</v>
      </c>
      <c r="B190" t="n">
        <v>11.06</v>
      </c>
    </row>
    <row r="191">
      <c r="A191" t="n">
        <v>2.428</v>
      </c>
      <c r="B191" t="n">
        <v>10.96</v>
      </c>
    </row>
    <row r="192">
      <c r="A192" t="n">
        <v>2.441</v>
      </c>
      <c r="B192" t="n">
        <v>10.94</v>
      </c>
    </row>
    <row r="193">
      <c r="A193" t="n">
        <v>2.454</v>
      </c>
      <c r="B193" t="n">
        <v>11.95</v>
      </c>
    </row>
    <row r="194">
      <c r="A194" t="n">
        <v>2.466</v>
      </c>
      <c r="B194" t="n">
        <v>11.97</v>
      </c>
    </row>
    <row r="195">
      <c r="A195" t="n">
        <v>2.478</v>
      </c>
      <c r="B195" t="n">
        <v>10.62</v>
      </c>
    </row>
    <row r="196">
      <c r="A196" t="n">
        <v>2.49</v>
      </c>
      <c r="B196" t="n">
        <v>10.62</v>
      </c>
    </row>
    <row r="197">
      <c r="A197" t="n">
        <v>2.503</v>
      </c>
      <c r="B197" t="n">
        <v>10.62</v>
      </c>
    </row>
    <row r="198">
      <c r="A198" t="n">
        <v>2.515</v>
      </c>
      <c r="B198" t="n">
        <v>10.62</v>
      </c>
    </row>
    <row r="199">
      <c r="A199" t="n">
        <v>2.528</v>
      </c>
      <c r="B199" t="n">
        <v>10.62</v>
      </c>
    </row>
    <row r="200">
      <c r="A200" t="n">
        <v>2.54</v>
      </c>
      <c r="B200" t="n">
        <v>11.63</v>
      </c>
    </row>
    <row r="201">
      <c r="A201" t="n">
        <v>2.552</v>
      </c>
      <c r="B201" t="n">
        <v>11.63</v>
      </c>
    </row>
    <row r="202">
      <c r="A202" t="n">
        <v>2.565</v>
      </c>
      <c r="B202" t="n">
        <v>11.61</v>
      </c>
    </row>
    <row r="203">
      <c r="A203" t="n">
        <v>2.578</v>
      </c>
      <c r="B203" t="n">
        <v>11.63</v>
      </c>
    </row>
    <row r="204">
      <c r="A204" t="n">
        <v>2.59</v>
      </c>
      <c r="B204" t="n">
        <v>10.32</v>
      </c>
    </row>
    <row r="205">
      <c r="A205" t="n">
        <v>2.602</v>
      </c>
      <c r="B205" t="n">
        <v>10.27</v>
      </c>
    </row>
    <row r="206">
      <c r="A206" t="n">
        <v>2.614</v>
      </c>
      <c r="B206" t="n">
        <v>10.27</v>
      </c>
    </row>
    <row r="207">
      <c r="A207" t="n">
        <v>2.627</v>
      </c>
      <c r="B207" t="n">
        <v>10.29</v>
      </c>
    </row>
    <row r="208">
      <c r="A208" t="n">
        <v>2.64</v>
      </c>
      <c r="B208" t="n">
        <v>10.39</v>
      </c>
    </row>
    <row r="209">
      <c r="A209" t="n">
        <v>2.652</v>
      </c>
      <c r="B209" t="n">
        <v>11.39</v>
      </c>
    </row>
    <row r="210">
      <c r="A210" t="n">
        <v>2.664</v>
      </c>
      <c r="B210" t="n">
        <v>11.39</v>
      </c>
    </row>
    <row r="211">
      <c r="A211" t="n">
        <v>2.677</v>
      </c>
      <c r="B211" t="n">
        <v>11.39</v>
      </c>
    </row>
    <row r="212">
      <c r="A212" t="n">
        <v>2.689</v>
      </c>
      <c r="B212" t="n">
        <v>11.4</v>
      </c>
    </row>
    <row r="213">
      <c r="A213" t="n">
        <v>2.701</v>
      </c>
      <c r="B213" t="n">
        <v>10.05</v>
      </c>
    </row>
    <row r="214">
      <c r="A214" t="n">
        <v>2.714</v>
      </c>
      <c r="B214" t="n">
        <v>10.05</v>
      </c>
    </row>
    <row r="215">
      <c r="A215" t="n">
        <v>2.727</v>
      </c>
      <c r="B215" t="n">
        <v>10.05</v>
      </c>
    </row>
    <row r="216">
      <c r="A216" t="n">
        <v>2.739</v>
      </c>
      <c r="B216" t="n">
        <v>10.05</v>
      </c>
    </row>
    <row r="217">
      <c r="A217" t="n">
        <v>2.751</v>
      </c>
      <c r="B217" t="n">
        <v>10.05</v>
      </c>
    </row>
    <row r="218">
      <c r="A218" t="n">
        <v>2.763</v>
      </c>
      <c r="B218" t="n">
        <v>10.05</v>
      </c>
    </row>
    <row r="219">
      <c r="A219" t="n">
        <v>2.776</v>
      </c>
      <c r="B219" t="n">
        <v>10.05</v>
      </c>
    </row>
    <row r="220">
      <c r="A220" t="n">
        <v>2.789</v>
      </c>
      <c r="B220" t="n">
        <v>10.05</v>
      </c>
    </row>
    <row r="221">
      <c r="A221" t="n">
        <v>2.801</v>
      </c>
      <c r="B221" t="n">
        <v>10.96</v>
      </c>
    </row>
    <row r="222">
      <c r="A222" t="n">
        <v>2.814</v>
      </c>
      <c r="B222" t="n">
        <v>10.96</v>
      </c>
    </row>
    <row r="223">
      <c r="A223" t="n">
        <v>2.826</v>
      </c>
      <c r="B223" t="n">
        <v>11.06</v>
      </c>
    </row>
    <row r="224">
      <c r="A224" t="n">
        <v>2.839</v>
      </c>
      <c r="B224" t="n">
        <v>11.06</v>
      </c>
    </row>
    <row r="225">
      <c r="A225" t="n">
        <v>2.852</v>
      </c>
      <c r="B225" t="n">
        <v>10.94</v>
      </c>
    </row>
    <row r="226">
      <c r="A226" t="n">
        <v>2.864</v>
      </c>
      <c r="B226" t="n">
        <v>10.94</v>
      </c>
    </row>
    <row r="227">
      <c r="A227" t="n">
        <v>2.877</v>
      </c>
      <c r="B227" t="n">
        <v>10.96</v>
      </c>
    </row>
    <row r="228">
      <c r="A228" t="n">
        <v>2.889</v>
      </c>
      <c r="B228" t="n">
        <v>10.96</v>
      </c>
    </row>
    <row r="229">
      <c r="A229" t="n">
        <v>2.901</v>
      </c>
      <c r="B229" t="n">
        <v>11.06</v>
      </c>
    </row>
    <row r="230">
      <c r="A230" t="n">
        <v>2.914</v>
      </c>
      <c r="B230" t="n">
        <v>10.96</v>
      </c>
    </row>
    <row r="231">
      <c r="A231" t="n">
        <v>2.926</v>
      </c>
      <c r="B231" t="n">
        <v>10.96</v>
      </c>
    </row>
    <row r="232">
      <c r="A232" t="n">
        <v>2.938</v>
      </c>
      <c r="B232" t="n">
        <v>10.94</v>
      </c>
    </row>
    <row r="233">
      <c r="A233" t="n">
        <v>2.95</v>
      </c>
      <c r="B233" t="n">
        <v>10.96</v>
      </c>
    </row>
    <row r="234">
      <c r="A234" t="n">
        <v>2.963</v>
      </c>
      <c r="B234" t="n">
        <v>11.06</v>
      </c>
    </row>
    <row r="235">
      <c r="A235" t="n">
        <v>2.975</v>
      </c>
      <c r="B235" t="n">
        <v>10.96</v>
      </c>
    </row>
    <row r="236">
      <c r="A236" t="n">
        <v>2.988</v>
      </c>
      <c r="B236" t="n">
        <v>10.96</v>
      </c>
    </row>
    <row r="237">
      <c r="A237" t="n">
        <v>3</v>
      </c>
      <c r="B237" t="n">
        <v>11.95</v>
      </c>
    </row>
    <row r="238">
      <c r="A238" t="n">
        <v>3.013</v>
      </c>
      <c r="B238" t="n">
        <v>11.95</v>
      </c>
    </row>
    <row r="239">
      <c r="A239" t="n">
        <v>3.025</v>
      </c>
      <c r="B239" t="n">
        <v>11.95</v>
      </c>
    </row>
    <row r="240">
      <c r="A240" t="n">
        <v>3.037</v>
      </c>
      <c r="B240" t="n">
        <v>11.97</v>
      </c>
    </row>
    <row r="241">
      <c r="A241" t="n">
        <v>3.05</v>
      </c>
      <c r="B241" t="n">
        <v>12.07</v>
      </c>
    </row>
    <row r="242">
      <c r="A242" t="n">
        <v>3.062</v>
      </c>
      <c r="B242" t="n">
        <v>11.95</v>
      </c>
    </row>
    <row r="243">
      <c r="A243" t="n">
        <v>3.074</v>
      </c>
      <c r="B243" t="n">
        <v>11.95</v>
      </c>
    </row>
    <row r="244">
      <c r="A244" t="n">
        <v>3.086</v>
      </c>
      <c r="B244" t="n">
        <v>11.97</v>
      </c>
    </row>
    <row r="245">
      <c r="A245" t="n">
        <v>3.099</v>
      </c>
      <c r="B245" t="n">
        <v>11.73</v>
      </c>
    </row>
    <row r="246">
      <c r="A246" t="n">
        <v>3.111</v>
      </c>
      <c r="B246" t="n">
        <v>11.73</v>
      </c>
    </row>
    <row r="247">
      <c r="A247" t="n">
        <v>3.123</v>
      </c>
      <c r="B247" t="n">
        <v>11.73</v>
      </c>
    </row>
    <row r="248">
      <c r="A248" t="n">
        <v>3.135</v>
      </c>
      <c r="B248" t="n">
        <v>11.73</v>
      </c>
    </row>
    <row r="249">
      <c r="A249" t="n">
        <v>3.148</v>
      </c>
      <c r="B249" t="n">
        <v>11.73</v>
      </c>
    </row>
    <row r="250">
      <c r="A250" t="n">
        <v>3.16</v>
      </c>
      <c r="B250" t="n">
        <v>11.63</v>
      </c>
    </row>
    <row r="251">
      <c r="A251" t="n">
        <v>3.173</v>
      </c>
      <c r="B251" t="n">
        <v>11.73</v>
      </c>
    </row>
    <row r="252">
      <c r="A252" t="n">
        <v>3.185</v>
      </c>
      <c r="B252" t="n">
        <v>11.73</v>
      </c>
    </row>
    <row r="253">
      <c r="A253" t="n">
        <v>3.197</v>
      </c>
      <c r="B253" t="n">
        <v>11.39</v>
      </c>
    </row>
    <row r="254">
      <c r="A254" t="n">
        <v>3.21</v>
      </c>
      <c r="B254" t="n">
        <v>11.39</v>
      </c>
    </row>
    <row r="255">
      <c r="A255" t="n">
        <v>3.223</v>
      </c>
      <c r="B255" t="n">
        <v>11.39</v>
      </c>
    </row>
    <row r="256">
      <c r="A256" t="n">
        <v>3.236</v>
      </c>
      <c r="B256" t="n">
        <v>11.39</v>
      </c>
    </row>
    <row r="257">
      <c r="A257" t="n">
        <v>3.249</v>
      </c>
      <c r="B257" t="n">
        <v>11.28</v>
      </c>
    </row>
    <row r="258">
      <c r="A258" t="n">
        <v>3.261</v>
      </c>
      <c r="B258" t="n">
        <v>11.4</v>
      </c>
    </row>
    <row r="259">
      <c r="A259" t="n">
        <v>3.273</v>
      </c>
      <c r="B259" t="n">
        <v>11.39</v>
      </c>
    </row>
    <row r="260">
      <c r="A260" t="n">
        <v>3.286</v>
      </c>
      <c r="B260" t="n">
        <v>11.39</v>
      </c>
    </row>
    <row r="261">
      <c r="A261" t="n">
        <v>3.299</v>
      </c>
      <c r="B261" t="n">
        <v>11.28</v>
      </c>
    </row>
    <row r="262">
      <c r="A262" t="n">
        <v>3.311</v>
      </c>
      <c r="B262" t="n">
        <v>11.28</v>
      </c>
    </row>
    <row r="263">
      <c r="A263" t="n">
        <v>3.324</v>
      </c>
      <c r="B263" t="n">
        <v>11.28</v>
      </c>
    </row>
    <row r="264">
      <c r="A264" t="n">
        <v>3.337</v>
      </c>
      <c r="B264" t="n">
        <v>11.39</v>
      </c>
    </row>
    <row r="265">
      <c r="A265" t="n">
        <v>3.349</v>
      </c>
      <c r="B265" t="n">
        <v>11.28</v>
      </c>
    </row>
    <row r="266">
      <c r="A266" t="n">
        <v>3.362</v>
      </c>
      <c r="B266" t="n">
        <v>11.28</v>
      </c>
    </row>
    <row r="267">
      <c r="A267" t="n">
        <v>3.376</v>
      </c>
      <c r="B267" t="n">
        <v>11.39</v>
      </c>
    </row>
    <row r="268">
      <c r="A268" t="n">
        <v>3.389</v>
      </c>
      <c r="B268" t="n">
        <v>11.4</v>
      </c>
    </row>
    <row r="269">
      <c r="A269" t="n">
        <v>3.401</v>
      </c>
      <c r="B269" t="n">
        <v>12.3</v>
      </c>
    </row>
    <row r="270">
      <c r="A270" t="n">
        <v>3.414</v>
      </c>
      <c r="B270" t="n">
        <v>12.3</v>
      </c>
    </row>
    <row r="271">
      <c r="A271" t="n">
        <v>3.426</v>
      </c>
      <c r="B271" t="n">
        <v>12.3</v>
      </c>
    </row>
    <row r="272">
      <c r="A272" t="n">
        <v>3.439</v>
      </c>
      <c r="B272" t="n">
        <v>12.28</v>
      </c>
    </row>
    <row r="273">
      <c r="A273" t="n">
        <v>3.452</v>
      </c>
      <c r="B273" t="n">
        <v>12.3</v>
      </c>
    </row>
    <row r="274">
      <c r="A274" t="n">
        <v>3.465</v>
      </c>
      <c r="B274" t="n">
        <v>12.28</v>
      </c>
    </row>
    <row r="275">
      <c r="A275" t="n">
        <v>3.478</v>
      </c>
      <c r="B275" t="n">
        <v>12.28</v>
      </c>
    </row>
    <row r="276">
      <c r="A276" t="n">
        <v>3.491</v>
      </c>
      <c r="B276" t="n">
        <v>12.4</v>
      </c>
    </row>
    <row r="277">
      <c r="A277" t="n">
        <v>3.504</v>
      </c>
      <c r="B277" t="n">
        <v>12.3</v>
      </c>
    </row>
    <row r="278">
      <c r="A278" t="n">
        <v>3.517</v>
      </c>
      <c r="B278" t="n">
        <v>12.4</v>
      </c>
    </row>
    <row r="279">
      <c r="A279" t="n">
        <v>3.53</v>
      </c>
      <c r="B279" t="n">
        <v>12.3</v>
      </c>
    </row>
    <row r="280">
      <c r="A280" t="n">
        <v>3.543</v>
      </c>
      <c r="B280" t="n">
        <v>12.4</v>
      </c>
    </row>
    <row r="281">
      <c r="A281" t="n">
        <v>3.557</v>
      </c>
      <c r="B281" t="n">
        <v>12.4</v>
      </c>
    </row>
    <row r="282">
      <c r="A282" t="n">
        <v>3.569</v>
      </c>
      <c r="B282" t="n">
        <v>11.97</v>
      </c>
    </row>
    <row r="283">
      <c r="A283" t="n">
        <v>3.581</v>
      </c>
      <c r="B283" t="n">
        <v>11.97</v>
      </c>
    </row>
    <row r="284">
      <c r="A284" t="n">
        <v>3.595</v>
      </c>
      <c r="B284" t="n">
        <v>11.95</v>
      </c>
    </row>
    <row r="285">
      <c r="A285" t="n">
        <v>3.608</v>
      </c>
      <c r="B285" t="n">
        <v>11.95</v>
      </c>
    </row>
    <row r="286">
      <c r="A286" t="n">
        <v>3.621</v>
      </c>
      <c r="B286" t="n">
        <v>11.95</v>
      </c>
    </row>
    <row r="287">
      <c r="A287" t="n">
        <v>3.634</v>
      </c>
      <c r="B287" t="n">
        <v>11.95</v>
      </c>
    </row>
    <row r="288">
      <c r="A288" t="n">
        <v>3.647</v>
      </c>
      <c r="B288" t="n">
        <v>12.07</v>
      </c>
    </row>
    <row r="289">
      <c r="A289" t="n">
        <v>3.66</v>
      </c>
      <c r="B289" t="n">
        <v>13.07</v>
      </c>
    </row>
    <row r="290">
      <c r="A290" t="n">
        <v>3.674</v>
      </c>
      <c r="B290" t="n">
        <v>11.63</v>
      </c>
    </row>
    <row r="291">
      <c r="A291" t="n">
        <v>3.686</v>
      </c>
      <c r="B291" t="n">
        <v>11.63</v>
      </c>
    </row>
    <row r="292">
      <c r="A292" t="n">
        <v>3.7</v>
      </c>
      <c r="B292" t="n">
        <v>11.73</v>
      </c>
    </row>
    <row r="293">
      <c r="A293" t="n">
        <v>3.712</v>
      </c>
      <c r="B293" t="n">
        <v>11.63</v>
      </c>
    </row>
    <row r="294">
      <c r="A294" t="n">
        <v>3.725</v>
      </c>
      <c r="B294" t="n">
        <v>11.61</v>
      </c>
    </row>
    <row r="295">
      <c r="A295" t="n">
        <v>3.738</v>
      </c>
      <c r="B295" t="n">
        <v>11.73</v>
      </c>
    </row>
    <row r="296">
      <c r="A296" t="n">
        <v>3.75</v>
      </c>
      <c r="B296" t="n">
        <v>11.73</v>
      </c>
    </row>
    <row r="297">
      <c r="A297" t="n">
        <v>3.763</v>
      </c>
      <c r="B297" t="n">
        <v>11.61</v>
      </c>
    </row>
    <row r="298">
      <c r="A298" t="n">
        <v>3.775</v>
      </c>
      <c r="B298" t="n">
        <v>12.62</v>
      </c>
    </row>
    <row r="299">
      <c r="A299" t="n">
        <v>3.788</v>
      </c>
      <c r="B299" t="n">
        <v>11.28</v>
      </c>
    </row>
    <row r="300">
      <c r="A300" t="n">
        <v>3.802</v>
      </c>
      <c r="B300" t="n">
        <v>11.28</v>
      </c>
    </row>
    <row r="301">
      <c r="A301" t="n">
        <v>3.815</v>
      </c>
      <c r="B301" t="n">
        <v>11.39</v>
      </c>
    </row>
    <row r="302">
      <c r="A302" t="n">
        <v>3.828</v>
      </c>
      <c r="B302" t="n">
        <v>11.39</v>
      </c>
    </row>
    <row r="303">
      <c r="A303" t="n">
        <v>3.841</v>
      </c>
      <c r="B303" t="n">
        <v>11.4</v>
      </c>
    </row>
    <row r="304">
      <c r="A304" t="n">
        <v>3.854</v>
      </c>
      <c r="B304" t="n">
        <v>11.4</v>
      </c>
    </row>
    <row r="305">
      <c r="A305" t="n">
        <v>3.867</v>
      </c>
      <c r="B305" t="n">
        <v>11.28</v>
      </c>
    </row>
    <row r="306">
      <c r="A306" t="n">
        <v>3.88</v>
      </c>
      <c r="B306" t="n">
        <v>11.39</v>
      </c>
    </row>
    <row r="307">
      <c r="A307" t="n">
        <v>3.893</v>
      </c>
      <c r="B307" t="n">
        <v>11.39</v>
      </c>
    </row>
    <row r="308">
      <c r="A308" t="n">
        <v>3.906</v>
      </c>
      <c r="B308" t="n">
        <v>11.39</v>
      </c>
    </row>
    <row r="309">
      <c r="A309" t="n">
        <v>3.919</v>
      </c>
      <c r="B309" t="n">
        <v>11.28</v>
      </c>
    </row>
    <row r="310">
      <c r="A310" t="n">
        <v>3.932</v>
      </c>
      <c r="B310" t="n">
        <v>11.3</v>
      </c>
    </row>
    <row r="311">
      <c r="A311" t="n">
        <v>3.945</v>
      </c>
      <c r="B311" t="n">
        <v>11.28</v>
      </c>
    </row>
    <row r="312">
      <c r="A312" t="n">
        <v>3.958</v>
      </c>
      <c r="B312" t="n">
        <v>12.3</v>
      </c>
    </row>
    <row r="313">
      <c r="A313" t="n">
        <v>3.971</v>
      </c>
      <c r="B313" t="n">
        <v>12.4</v>
      </c>
    </row>
    <row r="314">
      <c r="A314" t="n">
        <v>3.984</v>
      </c>
      <c r="B314" t="n">
        <v>12.4</v>
      </c>
    </row>
    <row r="315">
      <c r="A315" t="n">
        <v>3.997</v>
      </c>
      <c r="B315" t="n">
        <v>12.3</v>
      </c>
    </row>
    <row r="316">
      <c r="A316" t="n">
        <v>4.01</v>
      </c>
      <c r="B316" t="n">
        <v>12.31</v>
      </c>
    </row>
    <row r="317">
      <c r="A317" t="n">
        <v>4.023</v>
      </c>
      <c r="B317" t="n">
        <v>12.3</v>
      </c>
    </row>
    <row r="318">
      <c r="A318" t="n">
        <v>4.036</v>
      </c>
      <c r="B318" t="n">
        <v>12.3</v>
      </c>
    </row>
    <row r="319">
      <c r="A319" t="n">
        <v>4.049</v>
      </c>
      <c r="B319" t="n">
        <v>12.3</v>
      </c>
    </row>
    <row r="320">
      <c r="A320" t="n">
        <v>4.062</v>
      </c>
      <c r="B320" t="n">
        <v>12.3</v>
      </c>
    </row>
    <row r="321">
      <c r="A321" t="n">
        <v>4.075</v>
      </c>
      <c r="B321" t="n">
        <v>12.3</v>
      </c>
    </row>
    <row r="322">
      <c r="A322" t="n">
        <v>4.089</v>
      </c>
      <c r="B322" t="n">
        <v>12.4</v>
      </c>
    </row>
    <row r="323">
      <c r="A323" t="n">
        <v>4.102</v>
      </c>
      <c r="B323" t="n">
        <v>12.3</v>
      </c>
    </row>
    <row r="324">
      <c r="A324" t="n">
        <v>4.115</v>
      </c>
      <c r="B324" t="n">
        <v>13.31</v>
      </c>
    </row>
    <row r="325">
      <c r="A325" t="n">
        <v>4.128</v>
      </c>
      <c r="B325" t="n">
        <v>13.29</v>
      </c>
    </row>
    <row r="326">
      <c r="A326" t="n">
        <v>4.141</v>
      </c>
      <c r="B326" t="n">
        <v>13.31</v>
      </c>
    </row>
    <row r="327">
      <c r="A327" t="n">
        <v>4.154</v>
      </c>
      <c r="B327" t="n">
        <v>13.31</v>
      </c>
    </row>
    <row r="328">
      <c r="A328" t="n">
        <v>4.167</v>
      </c>
      <c r="B328" t="n">
        <v>13.31</v>
      </c>
    </row>
    <row r="329">
      <c r="A329" t="n">
        <v>4.179</v>
      </c>
      <c r="B329" t="n">
        <v>13.29</v>
      </c>
    </row>
    <row r="330">
      <c r="A330" t="n">
        <v>4.191</v>
      </c>
      <c r="B330" t="n">
        <v>12.97</v>
      </c>
    </row>
    <row r="331">
      <c r="A331" t="n">
        <v>4.205</v>
      </c>
      <c r="B331" t="n">
        <v>12.97</v>
      </c>
    </row>
    <row r="332">
      <c r="A332" t="n">
        <v>4.218</v>
      </c>
      <c r="B332" t="n">
        <v>13.07</v>
      </c>
    </row>
    <row r="333">
      <c r="A333" t="n">
        <v>4.231</v>
      </c>
      <c r="B333" t="n">
        <v>11.63</v>
      </c>
    </row>
    <row r="334">
      <c r="A334" t="n">
        <v>4.244</v>
      </c>
      <c r="B334" t="n">
        <v>11.73</v>
      </c>
    </row>
    <row r="335">
      <c r="A335" t="n">
        <v>4.257</v>
      </c>
      <c r="B335" t="n">
        <v>11.75</v>
      </c>
    </row>
    <row r="336">
      <c r="A336" t="n">
        <v>4.27</v>
      </c>
      <c r="B336" t="n">
        <v>11.63</v>
      </c>
    </row>
    <row r="337">
      <c r="A337" t="n">
        <v>4.284</v>
      </c>
      <c r="B337" t="n">
        <v>11.63</v>
      </c>
    </row>
    <row r="338">
      <c r="A338" t="n">
        <v>4.297</v>
      </c>
      <c r="B338" t="n">
        <v>11.73</v>
      </c>
    </row>
    <row r="339">
      <c r="A339" t="n">
        <v>4.31</v>
      </c>
      <c r="B339" t="n">
        <v>12.74</v>
      </c>
    </row>
    <row r="340">
      <c r="A340" t="n">
        <v>4.322</v>
      </c>
      <c r="B340" t="n">
        <v>12.62</v>
      </c>
    </row>
    <row r="341">
      <c r="A341" t="n">
        <v>4.335</v>
      </c>
      <c r="B341" t="n">
        <v>12.62</v>
      </c>
    </row>
    <row r="342">
      <c r="A342" t="n">
        <v>4.349</v>
      </c>
      <c r="B342" t="n">
        <v>12.62</v>
      </c>
    </row>
    <row r="343">
      <c r="A343" t="n">
        <v>4.362</v>
      </c>
      <c r="B343" t="n">
        <v>11.28</v>
      </c>
    </row>
    <row r="344">
      <c r="A344" t="n">
        <v>4.375</v>
      </c>
      <c r="B344" t="n">
        <v>11.28</v>
      </c>
    </row>
    <row r="345">
      <c r="A345" t="n">
        <v>4.388</v>
      </c>
      <c r="B345" t="n">
        <v>11.28</v>
      </c>
    </row>
    <row r="346">
      <c r="A346" t="n">
        <v>4.401</v>
      </c>
      <c r="B346" t="n">
        <v>11.28</v>
      </c>
    </row>
    <row r="347">
      <c r="A347" t="n">
        <v>4.414</v>
      </c>
      <c r="B347" t="n">
        <v>12.62</v>
      </c>
    </row>
    <row r="348">
      <c r="A348" t="n">
        <v>4.427</v>
      </c>
      <c r="B348" t="n">
        <v>12.64</v>
      </c>
    </row>
    <row r="349">
      <c r="A349" t="n">
        <v>4.44</v>
      </c>
      <c r="B349" t="n">
        <v>12.4</v>
      </c>
    </row>
    <row r="350">
      <c r="A350" t="n">
        <v>4.453</v>
      </c>
      <c r="B350" t="n">
        <v>12.3</v>
      </c>
    </row>
    <row r="351">
      <c r="A351" t="n">
        <v>4.466</v>
      </c>
      <c r="B351" t="n">
        <v>12.3</v>
      </c>
    </row>
    <row r="352">
      <c r="A352" t="n">
        <v>4.479</v>
      </c>
      <c r="B352" t="n">
        <v>12.3</v>
      </c>
    </row>
    <row r="353">
      <c r="A353" t="n">
        <v>4.492</v>
      </c>
      <c r="B353" t="n">
        <v>12.3</v>
      </c>
    </row>
    <row r="354">
      <c r="A354" t="n">
        <v>4.505</v>
      </c>
      <c r="B354" t="n">
        <v>12.31</v>
      </c>
    </row>
    <row r="355">
      <c r="A355" t="n">
        <v>4.518</v>
      </c>
      <c r="B355" t="n">
        <v>12.3</v>
      </c>
    </row>
    <row r="356">
      <c r="A356" t="n">
        <v>4.531</v>
      </c>
      <c r="B356" t="n">
        <v>12.3</v>
      </c>
    </row>
    <row r="357">
      <c r="A357" t="n">
        <v>4.544</v>
      </c>
      <c r="B357" t="n">
        <v>12.3</v>
      </c>
    </row>
    <row r="358">
      <c r="A358" t="n">
        <v>4.558</v>
      </c>
      <c r="B358" t="n">
        <v>12.4</v>
      </c>
    </row>
    <row r="359">
      <c r="A359" t="n">
        <v>4.571</v>
      </c>
      <c r="B359" t="n">
        <v>12.4</v>
      </c>
    </row>
    <row r="360">
      <c r="A360" t="n">
        <v>4.584</v>
      </c>
      <c r="B360" t="n">
        <v>12.4</v>
      </c>
    </row>
    <row r="361">
      <c r="A361" t="n">
        <v>4.597</v>
      </c>
      <c r="B361" t="n">
        <v>12.4</v>
      </c>
    </row>
    <row r="362">
      <c r="A362" t="n">
        <v>4.611</v>
      </c>
      <c r="B362" t="n">
        <v>12.3</v>
      </c>
    </row>
    <row r="363">
      <c r="A363" t="n">
        <v>4.624</v>
      </c>
      <c r="B363" t="n">
        <v>12.3</v>
      </c>
    </row>
    <row r="364">
      <c r="A364" t="n">
        <v>4.637</v>
      </c>
      <c r="B364" t="n">
        <v>13.31</v>
      </c>
    </row>
    <row r="365">
      <c r="A365" t="n">
        <v>4.65</v>
      </c>
      <c r="B365" t="n">
        <v>13.41</v>
      </c>
    </row>
    <row r="366">
      <c r="A366" t="n">
        <v>4.663</v>
      </c>
      <c r="B366" t="n">
        <v>13.41</v>
      </c>
    </row>
    <row r="367">
      <c r="A367" t="n">
        <v>4.676</v>
      </c>
      <c r="B367" t="n">
        <v>13.29</v>
      </c>
    </row>
    <row r="368">
      <c r="A368" t="n">
        <v>4.689</v>
      </c>
      <c r="B368" t="n">
        <v>13.31</v>
      </c>
    </row>
    <row r="369">
      <c r="A369" t="n">
        <v>4.703</v>
      </c>
      <c r="B369" t="n">
        <v>13.41</v>
      </c>
    </row>
    <row r="370">
      <c r="A370" t="n">
        <v>4.716</v>
      </c>
      <c r="B370" t="n">
        <v>13.31</v>
      </c>
    </row>
    <row r="371">
      <c r="A371" t="n">
        <v>4.729</v>
      </c>
      <c r="B371" t="n">
        <v>13.31</v>
      </c>
    </row>
    <row r="372">
      <c r="A372" t="n">
        <v>4.742</v>
      </c>
      <c r="B372" t="n">
        <v>12.98</v>
      </c>
    </row>
    <row r="373">
      <c r="A373" t="n">
        <v>4.755</v>
      </c>
      <c r="B373" t="n">
        <v>13.07</v>
      </c>
    </row>
    <row r="374">
      <c r="A374" t="n">
        <v>4.769</v>
      </c>
      <c r="B374" t="n">
        <v>12.97</v>
      </c>
    </row>
    <row r="375">
      <c r="A375" t="n">
        <v>4.782</v>
      </c>
      <c r="B375" t="n">
        <v>12.97</v>
      </c>
    </row>
    <row r="376">
      <c r="A376" t="n">
        <v>4.795</v>
      </c>
      <c r="B376" t="n">
        <v>12.97</v>
      </c>
    </row>
    <row r="377">
      <c r="A377" t="n">
        <v>4.808</v>
      </c>
      <c r="B377" t="n">
        <v>12.97</v>
      </c>
    </row>
    <row r="378">
      <c r="A378" t="n">
        <v>4.821</v>
      </c>
      <c r="B378" t="n">
        <v>12.97</v>
      </c>
    </row>
    <row r="379">
      <c r="A379" t="n">
        <v>4.834</v>
      </c>
      <c r="B379" t="n">
        <v>13.07</v>
      </c>
    </row>
    <row r="380">
      <c r="A380" t="n">
        <v>4.848</v>
      </c>
      <c r="B380" t="n">
        <v>12.64</v>
      </c>
    </row>
    <row r="381">
      <c r="A381" t="n">
        <v>4.861</v>
      </c>
      <c r="B381" t="n">
        <v>12.64</v>
      </c>
    </row>
    <row r="382">
      <c r="A382" t="n">
        <v>4.874</v>
      </c>
      <c r="B382" t="n">
        <v>12.64</v>
      </c>
    </row>
    <row r="383">
      <c r="A383" t="n">
        <v>4.887</v>
      </c>
      <c r="B383" t="n">
        <v>12.74</v>
      </c>
    </row>
    <row r="384">
      <c r="A384" t="n">
        <v>4.901</v>
      </c>
      <c r="B384" t="n">
        <v>12.73</v>
      </c>
    </row>
    <row r="385">
      <c r="A385" t="n">
        <v>4.914</v>
      </c>
      <c r="B385" t="n">
        <v>12.62</v>
      </c>
    </row>
    <row r="386">
      <c r="A386" t="n">
        <v>4.927</v>
      </c>
      <c r="B386" t="n">
        <v>12.64</v>
      </c>
    </row>
    <row r="387">
      <c r="A387" t="n">
        <v>4.94</v>
      </c>
      <c r="B387" t="n">
        <v>12.64</v>
      </c>
    </row>
    <row r="388">
      <c r="A388" t="n">
        <v>4.953</v>
      </c>
      <c r="B388" t="n">
        <v>12.74</v>
      </c>
    </row>
    <row r="389">
      <c r="A389" t="n">
        <v>4.967</v>
      </c>
      <c r="B389" t="n">
        <v>12.64</v>
      </c>
    </row>
    <row r="390">
      <c r="A390" t="n">
        <v>4.98</v>
      </c>
      <c r="B390" t="n">
        <v>12.64</v>
      </c>
    </row>
    <row r="391">
      <c r="A391" t="n">
        <v>4.993</v>
      </c>
      <c r="B391" t="n">
        <v>12.64</v>
      </c>
    </row>
    <row r="392">
      <c r="A392" t="n">
        <v>5</v>
      </c>
      <c r="B392" t="n">
        <v>12.73</v>
      </c>
    </row>
    <row r="393">
      <c r="A393" t="n">
        <v>5</v>
      </c>
      <c r="B393" t="n">
        <v>12.64</v>
      </c>
    </row>
    <row r="394">
      <c r="A394" t="n">
        <v>5</v>
      </c>
      <c r="B394" t="n">
        <v>12.74</v>
      </c>
    </row>
    <row r="395">
      <c r="A395" t="n">
        <v>5</v>
      </c>
      <c r="B395" t="n">
        <v>12.64</v>
      </c>
    </row>
    <row r="396">
      <c r="A396" t="n">
        <v>5</v>
      </c>
      <c r="B396" t="n">
        <v>12.64</v>
      </c>
    </row>
    <row r="397">
      <c r="A397" t="n">
        <v>5</v>
      </c>
      <c r="B397" t="n">
        <v>12.64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2026-07-28T08:23:13Z</dcterms:created>
  <dcterms:modified xmlns:dcterms="http://purl.org/dc/terms/" xmlns:xsi="http://www.w3.org/2001/XMLSchema-instance" xsi:type="dcterms:W3CDTF">2026-07-28T08:23:13Z</dcterms:modified>
</cp:coreProperties>
</file>